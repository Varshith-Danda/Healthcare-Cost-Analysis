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krishnavarshithdanda/Desktop/Project1Exceldata/"/>
    </mc:Choice>
  </mc:AlternateContent>
  <xr:revisionPtr revIDLastSave="0" documentId="13_ncr:1_{6A499176-6CB7-904D-9BFF-F8CF725CFA49}" xr6:coauthVersionLast="47" xr6:coauthVersionMax="47" xr10:uidLastSave="{00000000-0000-0000-0000-000000000000}"/>
  <bookViews>
    <workbookView xWindow="1540" yWindow="2040" windowWidth="28040" windowHeight="17180" xr2:uid="{69E5E2B4-AA50-6B49-84E0-9649C161A0C4}"/>
  </bookViews>
  <sheets>
    <sheet name="Summary Tables" sheetId="7" r:id="rId1"/>
    <sheet name="state_costs" sheetId="2" r:id="rId2"/>
    <sheet name="alaska_similar_states" sheetId="3" r:id="rId3"/>
    <sheet name="cost_vulnerability" sheetId="4" r:id="rId4"/>
    <sheet name="cost_quality" sheetId="5" r:id="rId5"/>
    <sheet name="volume_efficiency" sheetId="6" r:id="rId6"/>
  </sheets>
  <definedNames>
    <definedName name="ExternalData_1" localSheetId="2" hidden="1">alaska_similar_states!$A$1:$O$8</definedName>
    <definedName name="ExternalData_1" localSheetId="4" hidden="1">'cost_quality'!$A$1:$D$52</definedName>
    <definedName name="ExternalData_1" localSheetId="3" hidden="1">'cost_vulnerability'!$A$1:$D$52</definedName>
    <definedName name="ExternalData_1" localSheetId="1" hidden="1">state_costs!$A$1:$D$52</definedName>
    <definedName name="ExternalData_1" localSheetId="5" hidden="1">volume_efficiency!$A$1:$E$52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7" l="1"/>
  <c r="D44" i="7"/>
  <c r="D45" i="7"/>
  <c r="D42" i="7"/>
  <c r="D23" i="7"/>
  <c r="D24" i="7"/>
  <c r="D2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DD81F-95F4-8043-807A-8FD2DC46C351}" keepAlive="1" name="Query - alaska_similar_states" description="Connection to the 'alaska_similar_states' query in the workbook." type="5" refreshedVersion="8" background="1" saveData="1">
    <dbPr connection="Provider=Microsoft.Mashup.OleDb.1;Data Source=$Workbook$;Location=alaska_similar_states;Extended Properties=&quot;&quot;" command="SELECT * FROM [alaska_similar_states]"/>
  </connection>
  <connection id="2" xr16:uid="{DAC6B5B1-22C4-9C47-BBF4-EC1C0956694E}" keepAlive="1" name="Query - cost_quality" description="Connection to the 'cost_quality' query in the workbook." type="5" refreshedVersion="8" background="1" saveData="1">
    <dbPr connection="Provider=Microsoft.Mashup.OleDb.1;Data Source=$Workbook$;Location=cost_quality;Extended Properties=&quot;&quot;" command="SELECT * FROM [cost_quality]"/>
  </connection>
  <connection id="3" xr16:uid="{69815A3B-9049-D447-B79D-2723F425347F}" keepAlive="1" name="Query - cost_vulnerability" description="Connection to the 'cost_vulnerability' query in the workbook." type="5" refreshedVersion="8" background="1" saveData="1">
    <dbPr connection="Provider=Microsoft.Mashup.OleDb.1;Data Source=$Workbook$;Location=cost_vulnerability;Extended Properties=&quot;&quot;" command="SELECT * FROM [cost_vulnerability]"/>
  </connection>
  <connection id="4" xr16:uid="{E246D347-C7B2-AC40-9AA0-F64D0CE40458}" keepAlive="1" name="Query - rural_premium_states" description="Connection to the 'rural_premium_states' query in the workbook." type="5" refreshedVersion="0" background="1">
    <dbPr connection="Provider=Microsoft.Mashup.OleDb.1;Data Source=$Workbook$;Location=rural_premium_states;Extended Properties=&quot;&quot;" command="SELECT * FROM [rural_premium_states]"/>
  </connection>
  <connection id="5" xr16:uid="{66A17951-A02B-7B4C-B94D-CEDE486E4849}" keepAlive="1" name="Query - state_costs" description="Connection to the 'state_costs' query in the workbook." type="5" refreshedVersion="8" background="1" saveData="1">
    <dbPr connection="Provider=Microsoft.Mashup.OleDb.1;Data Source=$Workbook$;Location=state_costs;Extended Properties=&quot;&quot;" command="SELECT * FROM [state_costs]"/>
  </connection>
  <connection id="6" xr16:uid="{65CCCAD2-CC49-CB47-B2CD-145598672E7E}" keepAlive="1" name="Query - volume_efficiency" description="Connection to the 'volume_efficiency' query in the workbook." type="5" refreshedVersion="8" background="1" saveData="1">
    <dbPr connection="Provider=Microsoft.Mashup.OleDb.1;Data Source=$Workbook$;Location=volume_efficiency;Extended Properties=&quot;&quot;" command="SELECT * FROM [volume_efficiency]"/>
  </connection>
</connections>
</file>

<file path=xl/sharedStrings.xml><?xml version="1.0" encoding="utf-8"?>
<sst xmlns="http://schemas.openxmlformats.org/spreadsheetml/2006/main" count="391" uniqueCount="97">
  <si>
    <t>state</t>
  </si>
  <si>
    <t>total_patients</t>
  </si>
  <si>
    <t>num_hospitals</t>
  </si>
  <si>
    <t>avg_payment</t>
  </si>
  <si>
    <t>AK</t>
  </si>
  <si>
    <t>MD</t>
  </si>
  <si>
    <t>DC</t>
  </si>
  <si>
    <t>HI</t>
  </si>
  <si>
    <t>NY</t>
  </si>
  <si>
    <t>CA</t>
  </si>
  <si>
    <t>WY</t>
  </si>
  <si>
    <t>CT</t>
  </si>
  <si>
    <t>MA</t>
  </si>
  <si>
    <t>OR</t>
  </si>
  <si>
    <t>NJ</t>
  </si>
  <si>
    <t>DE</t>
  </si>
  <si>
    <t>RI</t>
  </si>
  <si>
    <t>ME</t>
  </si>
  <si>
    <t>WA</t>
  </si>
  <si>
    <t>MN</t>
  </si>
  <si>
    <t>NV</t>
  </si>
  <si>
    <t>SD</t>
  </si>
  <si>
    <t>NM</t>
  </si>
  <si>
    <t>IL</t>
  </si>
  <si>
    <t>PA</t>
  </si>
  <si>
    <t>NH</t>
  </si>
  <si>
    <t>AZ</t>
  </si>
  <si>
    <t>GA</t>
  </si>
  <si>
    <t>TX</t>
  </si>
  <si>
    <t>CO</t>
  </si>
  <si>
    <t>MI</t>
  </si>
  <si>
    <t>WI</t>
  </si>
  <si>
    <t>ID</t>
  </si>
  <si>
    <t>VA</t>
  </si>
  <si>
    <t>UT</t>
  </si>
  <si>
    <t>NC</t>
  </si>
  <si>
    <t>ND</t>
  </si>
  <si>
    <t>NE</t>
  </si>
  <si>
    <t>OH</t>
  </si>
  <si>
    <t>WV</t>
  </si>
  <si>
    <t>SC</t>
  </si>
  <si>
    <t>MT</t>
  </si>
  <si>
    <t>MO</t>
  </si>
  <si>
    <t>KS</t>
  </si>
  <si>
    <t>IN</t>
  </si>
  <si>
    <t>FL</t>
  </si>
  <si>
    <t>TN</t>
  </si>
  <si>
    <t>LA</t>
  </si>
  <si>
    <t>OK</t>
  </si>
  <si>
    <t>KY</t>
  </si>
  <si>
    <t>AL</t>
  </si>
  <si>
    <t>IA</t>
  </si>
  <si>
    <t>MS</t>
  </si>
  <si>
    <t>AR</t>
  </si>
  <si>
    <t>VT</t>
  </si>
  <si>
    <t>total_population</t>
  </si>
  <si>
    <t>avg_vulnerability</t>
  </si>
  <si>
    <t>pct_poverty</t>
  </si>
  <si>
    <t>pct_uninsured</t>
  </si>
  <si>
    <t>pct_unemployed</t>
  </si>
  <si>
    <t>pct_elderly</t>
  </si>
  <si>
    <t>pct_youth</t>
  </si>
  <si>
    <t>pct_disabled</t>
  </si>
  <si>
    <t>num_rated_hospitals</t>
  </si>
  <si>
    <t>avg_quality_rating</t>
  </si>
  <si>
    <t>quality_rank</t>
  </si>
  <si>
    <t>vulnerability_category</t>
  </si>
  <si>
    <t>Above avg vulnerability</t>
  </si>
  <si>
    <t>Below avg vulnerability</t>
  </si>
  <si>
    <t>High vulnerability</t>
  </si>
  <si>
    <t>Low vulnerability</t>
  </si>
  <si>
    <t>quality_category</t>
  </si>
  <si>
    <t>Below average</t>
  </si>
  <si>
    <t>Average</t>
  </si>
  <si>
    <t>Above average</t>
  </si>
  <si>
    <t>patients_per_hospital</t>
  </si>
  <si>
    <t>Rank</t>
  </si>
  <si>
    <t>State</t>
  </si>
  <si>
    <t>Cost</t>
  </si>
  <si>
    <t>U.S. HEALTHCARE COST ANALYSIS - SUMMARY TABLES</t>
  </si>
  <si>
    <t>TOP 10 MOST EXPENSIVE STATES FOR SEPTICEMIA TREATMENT</t>
  </si>
  <si>
    <t>Hospital Costs and Quality Across 51 States (2022-2025)</t>
  </si>
  <si>
    <t>Alaska</t>
  </si>
  <si>
    <t>Metric</t>
  </si>
  <si>
    <t>Vermont</t>
  </si>
  <si>
    <t>Difference (%)</t>
  </si>
  <si>
    <t>ALASKA VS VERMONT: SEPTICEMIA COSTS &amp; STATE HEALTH METRICS</t>
  </si>
  <si>
    <t>Cost per Patient (Septicemia)</t>
  </si>
  <si>
    <t>Vulnerability Index (Overall)</t>
  </si>
  <si>
    <t>Hospital Quality (Overall)</t>
  </si>
  <si>
    <t>Population</t>
  </si>
  <si>
    <t>Quality</t>
  </si>
  <si>
    <t>ALASKA VS SIMILAR-SIZED STATES: SEPTICEMIA TREATMENT COSTS &amp; QUALITY</t>
  </si>
  <si>
    <t>STATES CHARGING RURAL PREMIUM - ALL MEDICAL CONDITIONS (4 OF 51)</t>
  </si>
  <si>
    <t>Rural Cost</t>
  </si>
  <si>
    <t>Urban Cost</t>
  </si>
  <si>
    <t>Premium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</si>
</sst>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Display"/>
      <scheme val="major"/>
    </font>
    <font>
      <b/>
      <sz val="14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2" fillId="2" borderId="0" xfId="0" applyFont="1" applyFill="1"/>
    <xf numFmtId="164" fontId="2" fillId="2" borderId="0" xfId="0" applyNumberFormat="1" applyFont="1" applyFill="1"/>
    <xf numFmtId="0" fontId="6" fillId="0" borderId="0" xfId="0" applyFont="1"/>
    <xf numFmtId="10" fontId="0" fillId="0" borderId="0" xfId="0" applyNumberFormat="1"/>
    <xf numFmtId="0" fontId="4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10" fontId="0" fillId="2" borderId="0" xfId="0" applyNumberFormat="1" applyFill="1"/>
  </cellXfs>
  <cellStyles count="1">
    <cellStyle name="Normal" xfId="0" builtinId="0"/>
  </cellStyles>
  <dxfs count="10">
    <dxf>
      <numFmt numFmtId="14" formatCode="0.00%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370E6B9-CE40-C347-827D-8D097D3C11DA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patients" tableColumnId="2"/>
      <queryTableField id="3" name="num_hospitals" tableColumnId="3"/>
      <queryTableField id="4" name="avg_pay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C5155-A4AA-1941-BB7F-8FCC66D31382}" autoFormatId="16" applyNumberFormats="0" applyBorderFormats="0" applyFontFormats="0" applyPatternFormats="0" applyAlignmentFormats="0" applyWidthHeightFormats="0">
  <queryTableRefresh nextId="16">
    <queryTableFields count="15">
      <queryTableField id="1" name="state" tableColumnId="1"/>
      <queryTableField id="2" name="total_patients" tableColumnId="2"/>
      <queryTableField id="3" name="avg_payment" tableColumnId="3"/>
      <queryTableField id="4" name="num_hospitals" tableColumnId="4"/>
      <queryTableField id="5" name="total_population" tableColumnId="5"/>
      <queryTableField id="6" name="avg_vulnerability" tableColumnId="6"/>
      <queryTableField id="7" name="pct_poverty" tableColumnId="7"/>
      <queryTableField id="8" name="pct_uninsured" tableColumnId="8"/>
      <queryTableField id="9" name="pct_unemployed" tableColumnId="9"/>
      <queryTableField id="10" name="pct_elderly" tableColumnId="10"/>
      <queryTableField id="11" name="pct_youth" tableColumnId="11"/>
      <queryTableField id="12" name="pct_disabled" tableColumnId="12"/>
      <queryTableField id="13" name="num_rated_hospitals" tableColumnId="13"/>
      <queryTableField id="14" name="avg_quality_rating" tableColumnId="14"/>
      <queryTableField id="15" name="quality_rank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41EA30-AC2C-B448-BAD0-54338465E10F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avg_payment" tableColumnId="2"/>
      <queryTableField id="3" name="avg_vulnerability" tableColumnId="3"/>
      <queryTableField id="4" name="vulnerability_catego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D5D1FA-C02F-234C-A0BD-C359C403FD9A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avg_payment" tableColumnId="2"/>
      <queryTableField id="3" name="avg_quality_rating" tableColumnId="3"/>
      <queryTableField id="4" name="quality_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B7A4B0A-8CB3-8540-B478-873FB03526F8}" autoFormatId="16" applyNumberFormats="0" applyBorderFormats="0" applyFontFormats="0" applyPatternFormats="0" applyAlignmentFormats="0" applyWidthHeightFormats="0">
  <queryTableRefresh nextId="6">
    <queryTableFields count="5">
      <queryTableField id="1" name="state" tableColumnId="1"/>
      <queryTableField id="2" name="total_patients" tableColumnId="2"/>
      <queryTableField id="3" name="num_hospitals" tableColumnId="3"/>
      <queryTableField id="4" name="avg_payment" tableColumnId="4"/>
      <queryTableField id="5" name="patients_per_hospital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993A90-022A-E642-B685-E098909463EE}" name="Table9" displayName="Table9" ref="A6:C16" totalsRowShown="0" headerRowDxfId="8">
  <autoFilter ref="A6:C16" xr:uid="{7E993A90-022A-E642-B685-E098909463EE}"/>
  <tableColumns count="3">
    <tableColumn id="1" xr3:uid="{66C37B64-95BA-9B43-97EB-6FEAEAEE042F}" name="Rank"/>
    <tableColumn id="2" xr3:uid="{FBD5B6FE-D495-444B-8907-0107C41C574E}" name="State"/>
    <tableColumn id="3" xr3:uid="{1AFEF7F3-DD5C-9546-B657-D8CCDBEEA09E}" name="Cost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AD137A-2920-4348-9EC7-91AB0BBF954C}" name="Table10" displayName="Table10" ref="A21:D24" totalsRowShown="0" headerRowDxfId="4">
  <autoFilter ref="A21:D24" xr:uid="{04AD137A-2920-4348-9EC7-91AB0BBF954C}"/>
  <tableColumns count="4">
    <tableColumn id="1" xr3:uid="{A1839090-E4FB-0D44-A8C0-4B3AF53D9F09}" name="Metric"/>
    <tableColumn id="2" xr3:uid="{9FD6B0EA-99AD-D94E-BAD3-2EBA757A944B}" name="Alaska"/>
    <tableColumn id="3" xr3:uid="{9E4D2BEB-3BCA-6E4E-B36B-82E7918EBA7E}" name="Vermont"/>
    <tableColumn id="4" xr3:uid="{53A7AD2E-9B57-5744-B427-15F6503736C3}" name="Difference (%)" dataDxfId="7">
      <calculatedColumnFormula>(B22 - C22) / C22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CE2D29-2B52-AE43-BA8B-AE044A2975C1}" name="Table11" displayName="Table11" ref="A29:E36" totalsRowShown="0" headerRowDxfId="5">
  <autoFilter ref="A29:E36" xr:uid="{4BCE2D29-2B52-AE43-BA8B-AE044A2975C1}"/>
  <tableColumns count="5">
    <tableColumn id="1" xr3:uid="{46B92009-BBFB-7945-BB74-DC6B43956300}" name="State"/>
    <tableColumn id="2" xr3:uid="{DA0D6A7E-5536-2543-AE93-6DAB4CCB83A8}" name="Population"/>
    <tableColumn id="3" xr3:uid="{0566B77B-BDE5-1C40-B881-455C77D8DAA8}" name="Cost" dataDxfId="6"/>
    <tableColumn id="4" xr3:uid="{DBBB8CC1-8694-1A4E-8AC8-3431D8ABFFB1}" name="Quality"/>
    <tableColumn id="5" xr3:uid="{6B750EE4-D970-B940-9E98-D5D15BBF2995}" name="Rank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C324A7-51C6-284D-BAF0-3BF37EB783C0}" name="Table13" displayName="Table13" ref="A41:D45" totalsRowShown="0" headerRowDxfId="3">
  <autoFilter ref="A41:D45" xr:uid="{37C324A7-51C6-284D-BAF0-3BF37EB783C0}"/>
  <tableColumns count="4">
    <tableColumn id="1" xr3:uid="{D1B3B455-3CBF-464D-A145-CE3FB0087F39}" name="State"/>
    <tableColumn id="2" xr3:uid="{BA131032-3820-8949-AA48-3341FD0FFB1B}" name="Rural Cost" dataDxfId="2"/>
    <tableColumn id="3" xr3:uid="{FC051DFE-152A-CD4E-B964-00003045818F}" name="Urban Cost" dataDxfId="1"/>
    <tableColumn id="4" xr3:uid="{19D52CE9-96A0-AC40-A289-9448A13B223B}" name="Premium %" dataDxfId="0">
      <calculatedColumnFormula>(B42 - C42) / C42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85208-6F2E-C64D-AEB3-59F3BCEAF5B5}" name="state_costs" displayName="state_costs" ref="A1:D52" tableType="queryTable" totalsRowShown="0">
  <autoFilter ref="A1:D52" xr:uid="{F8785208-6F2E-C64D-AEB3-59F3BCEAF5B5}"/>
  <sortState xmlns:xlrd2="http://schemas.microsoft.com/office/spreadsheetml/2017/richdata2" ref="A2:D52">
    <sortCondition descending="1" ref="D1:D52"/>
  </sortState>
  <tableColumns count="4">
    <tableColumn id="1" xr3:uid="{060B3AD9-9E3A-6740-B692-81724D6AF756}" uniqueName="1" name="state" queryTableFieldId="1"/>
    <tableColumn id="2" xr3:uid="{6189198E-1B83-EC47-9572-4CBBDCBBFA1C}" uniqueName="2" name="total_patients" queryTableFieldId="2"/>
    <tableColumn id="3" xr3:uid="{C47592BF-EBD7-3644-85E5-FD9DB38DAF3A}" uniqueName="3" name="num_hospitals" queryTableFieldId="3"/>
    <tableColumn id="4" xr3:uid="{D353F20E-ECEB-F348-A9EA-415D6D643F8B}" uniqueName="4" name="avg_payment" queryTableFieldId="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ECBDCC-B616-7649-8B61-181AAD2EC899}" name="alaska_similar_states" displayName="alaska_similar_states" ref="A1:O8" tableType="queryTable" totalsRowShown="0">
  <autoFilter ref="A1:O8" xr:uid="{51ECBDCC-B616-7649-8B61-181AAD2EC899}"/>
  <tableColumns count="15">
    <tableColumn id="1" xr3:uid="{A3B23D8A-F9C1-9142-8D88-17E9640B3319}" uniqueName="1" name="state" queryTableFieldId="1"/>
    <tableColumn id="2" xr3:uid="{57B9E27E-1E77-9F4C-906C-B331F2ACB41E}" uniqueName="2" name="total_patients" queryTableFieldId="2"/>
    <tableColumn id="3" xr3:uid="{07FE8EF0-C144-2940-B309-F4DBBA30DEBF}" uniqueName="3" name="avg_payment" queryTableFieldId="3"/>
    <tableColumn id="4" xr3:uid="{8F0C002A-BC8C-744F-8773-4C836C90EA15}" uniqueName="4" name="num_hospitals" queryTableFieldId="4"/>
    <tableColumn id="5" xr3:uid="{41883197-F4F2-AD41-B735-BC49B89CCE9C}" uniqueName="5" name="total_population" queryTableFieldId="5"/>
    <tableColumn id="6" xr3:uid="{2BC66AA6-C3FA-054E-AE1B-B0B6F3F3D276}" uniqueName="6" name="avg_vulnerability" queryTableFieldId="6"/>
    <tableColumn id="7" xr3:uid="{7BB6FA03-3471-7A4C-8EDA-EF2CB4D5FE6D}" uniqueName="7" name="pct_poverty" queryTableFieldId="7"/>
    <tableColumn id="8" xr3:uid="{F9B972C6-3CB0-8349-9C20-D725E5383896}" uniqueName="8" name="pct_uninsured" queryTableFieldId="8"/>
    <tableColumn id="9" xr3:uid="{96635E39-3BC4-3744-BF19-A99EF472FA23}" uniqueName="9" name="pct_unemployed" queryTableFieldId="9"/>
    <tableColumn id="10" xr3:uid="{AC94ABC0-8E82-4143-AB48-32831640B2BE}" uniqueName="10" name="pct_elderly" queryTableFieldId="10"/>
    <tableColumn id="11" xr3:uid="{1D2C3344-669D-F84E-A3CC-041DF2565637}" uniqueName="11" name="pct_youth" queryTableFieldId="11"/>
    <tableColumn id="12" xr3:uid="{D8FC180E-A43E-0046-995B-9AEC5C8416EF}" uniqueName="12" name="pct_disabled" queryTableFieldId="12"/>
    <tableColumn id="13" xr3:uid="{082B4FF6-F5EF-7A41-88B7-7FD6647ACDFC}" uniqueName="13" name="num_rated_hospitals" queryTableFieldId="13"/>
    <tableColumn id="14" xr3:uid="{DC6ECBF1-A290-A341-9C31-537B94DCC45E}" uniqueName="14" name="avg_quality_rating" queryTableFieldId="14"/>
    <tableColumn id="15" xr3:uid="{2C2A12DF-BCA4-F747-B712-ED9E01A87BBE}" uniqueName="15" name="quality_rank" queryTableFieldId="1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04CFAB-2D7D-6A4A-8DA9-B37BB33FD491}" name="cost_vulnerability" displayName="cost_vulnerability" ref="A1:D52" tableType="queryTable" totalsRowShown="0">
  <autoFilter ref="A1:D52" xr:uid="{F604CFAB-2D7D-6A4A-8DA9-B37BB33FD491}"/>
  <tableColumns count="4">
    <tableColumn id="1" xr3:uid="{1ADB0ED0-2E59-6848-B809-07649754C703}" uniqueName="1" name="state" queryTableFieldId="1"/>
    <tableColumn id="2" xr3:uid="{C86774AE-6FC4-4E4F-8AD5-687A216BC3A0}" uniqueName="2" name="avg_payment" queryTableFieldId="2"/>
    <tableColumn id="3" xr3:uid="{FF50C698-D2AE-F54E-9BE4-0342676B6480}" uniqueName="3" name="avg_vulnerability" queryTableFieldId="3"/>
    <tableColumn id="4" xr3:uid="{051700C2-59D9-9749-A4E5-74CC19583E9C}" uniqueName="4" name="vulnerability_category" queryTableFieldId="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68D1A-9C1A-6947-983D-47DBD657C91D}" name="cost_quality" displayName="cost_quality" ref="A1:D52" tableType="queryTable" totalsRowShown="0">
  <autoFilter ref="A1:D52" xr:uid="{F0C68D1A-9C1A-6947-983D-47DBD657C91D}"/>
  <tableColumns count="4">
    <tableColumn id="1" xr3:uid="{A0F93CAC-6861-4142-AF1F-F3128E031ED6}" uniqueName="1" name="state" queryTableFieldId="1"/>
    <tableColumn id="2" xr3:uid="{154CA877-83F0-984E-A2B0-467D758F26F7}" uniqueName="2" name="avg_payment" queryTableFieldId="2"/>
    <tableColumn id="3" xr3:uid="{4C6742EC-6C3B-1545-ACDA-19315F030606}" uniqueName="3" name="avg_quality_rating" queryTableFieldId="3"/>
    <tableColumn id="4" xr3:uid="{3887E8D3-D4D7-8C43-8373-A86ECB9507B9}" uniqueName="4" name="quality_category" queryTableFieldId="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D5B543-115D-3044-801E-3AEA99ED78F9}" name="volume_efficiency" displayName="volume_efficiency" ref="A1:E52" tableType="queryTable" totalsRowShown="0">
  <autoFilter ref="A1:E52" xr:uid="{F2D5B543-115D-3044-801E-3AEA99ED78F9}"/>
  <tableColumns count="5">
    <tableColumn id="1" xr3:uid="{7FA7E2DA-183E-E84C-BDF0-CBBA29DB3131}" uniqueName="1" name="state" queryTableFieldId="1"/>
    <tableColumn id="2" xr3:uid="{B642A0D3-143C-CD42-A96E-DCA83D608791}" uniqueName="2" name="total_patients" queryTableFieldId="2"/>
    <tableColumn id="3" xr3:uid="{DEAC5FB1-413F-7541-84DF-9FE9B99AE3FC}" uniqueName="3" name="num_hospitals" queryTableFieldId="3"/>
    <tableColumn id="4" xr3:uid="{23F6C215-23B4-B24C-A4C2-22114859FE85}" uniqueName="4" name="avg_payment" queryTableFieldId="4"/>
    <tableColumn id="5" xr3:uid="{B0FE1168-5091-2644-92B4-C203A31C7F5F}" uniqueName="5" name="patients_per_hospital" queryTableField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231E-2D85-E248-98C0-554CC253688D}">
  <dimension ref="A1:H45"/>
  <sheetViews>
    <sheetView tabSelected="1" workbookViewId="0">
      <selection activeCell="G11" sqref="G11"/>
    </sheetView>
  </sheetViews>
  <sheetFormatPr baseColWidth="10" defaultRowHeight="16" x14ac:dyDescent="0.2"/>
  <cols>
    <col min="1" max="1" width="24" bestFit="1" customWidth="1"/>
    <col min="2" max="2" width="15" bestFit="1" customWidth="1"/>
    <col min="3" max="3" width="15.33203125" bestFit="1" customWidth="1"/>
    <col min="4" max="4" width="18.1640625" bestFit="1" customWidth="1"/>
    <col min="5" max="5" width="10.33203125" bestFit="1" customWidth="1"/>
    <col min="7" max="7" width="11" customWidth="1"/>
  </cols>
  <sheetData>
    <row r="1" spans="1:8" ht="24" x14ac:dyDescent="0.2">
      <c r="A1" s="2" t="s">
        <v>79</v>
      </c>
      <c r="B1" s="2"/>
      <c r="C1" s="2"/>
      <c r="D1" s="2"/>
      <c r="E1" s="2"/>
      <c r="F1" s="2"/>
      <c r="G1" s="2"/>
      <c r="H1" s="2"/>
    </row>
    <row r="2" spans="1:8" x14ac:dyDescent="0.2">
      <c r="A2" s="4" t="s">
        <v>81</v>
      </c>
      <c r="B2" s="4"/>
      <c r="C2" s="4"/>
      <c r="D2" s="4"/>
      <c r="E2" s="4"/>
      <c r="F2" s="4"/>
      <c r="G2" s="4"/>
      <c r="H2" s="4"/>
    </row>
    <row r="3" spans="1:8" x14ac:dyDescent="0.2">
      <c r="C3" s="1"/>
    </row>
    <row r="4" spans="1:8" ht="19" x14ac:dyDescent="0.2">
      <c r="A4" s="3" t="s">
        <v>80</v>
      </c>
      <c r="B4" s="3"/>
      <c r="C4" s="3"/>
      <c r="D4" s="3"/>
      <c r="E4" s="3"/>
      <c r="F4" s="3"/>
    </row>
    <row r="6" spans="1:8" x14ac:dyDescent="0.2">
      <c r="A6" s="5" t="s">
        <v>76</v>
      </c>
      <c r="B6" s="5" t="s">
        <v>77</v>
      </c>
      <c r="C6" s="5" t="s">
        <v>78</v>
      </c>
    </row>
    <row r="7" spans="1:8" x14ac:dyDescent="0.2">
      <c r="A7" s="6">
        <v>1</v>
      </c>
      <c r="B7" s="8" t="s">
        <v>4</v>
      </c>
      <c r="C7" s="9">
        <v>24728.15</v>
      </c>
    </row>
    <row r="8" spans="1:8" x14ac:dyDescent="0.2">
      <c r="A8">
        <v>2</v>
      </c>
      <c r="B8" t="s">
        <v>5</v>
      </c>
      <c r="C8" s="1">
        <v>23753.23</v>
      </c>
    </row>
    <row r="9" spans="1:8" x14ac:dyDescent="0.2">
      <c r="A9">
        <v>3</v>
      </c>
      <c r="B9" t="s">
        <v>6</v>
      </c>
      <c r="C9" s="1">
        <v>23686.9</v>
      </c>
    </row>
    <row r="10" spans="1:8" x14ac:dyDescent="0.2">
      <c r="A10">
        <v>4</v>
      </c>
      <c r="B10" t="s">
        <v>7</v>
      </c>
      <c r="C10" s="1">
        <v>23609.9</v>
      </c>
    </row>
    <row r="11" spans="1:8" x14ac:dyDescent="0.2">
      <c r="A11">
        <v>5</v>
      </c>
      <c r="B11" t="s">
        <v>8</v>
      </c>
      <c r="C11" s="1">
        <v>23136.81</v>
      </c>
    </row>
    <row r="12" spans="1:8" x14ac:dyDescent="0.2">
      <c r="A12">
        <v>6</v>
      </c>
      <c r="B12" t="s">
        <v>9</v>
      </c>
      <c r="C12" s="1">
        <v>22036.49</v>
      </c>
    </row>
    <row r="13" spans="1:8" x14ac:dyDescent="0.2">
      <c r="A13">
        <v>7</v>
      </c>
      <c r="B13" t="s">
        <v>10</v>
      </c>
      <c r="C13" s="1">
        <v>20959.18</v>
      </c>
    </row>
    <row r="14" spans="1:8" x14ac:dyDescent="0.2">
      <c r="A14">
        <v>8</v>
      </c>
      <c r="B14" t="s">
        <v>11</v>
      </c>
      <c r="C14" s="1">
        <v>20317.5</v>
      </c>
    </row>
    <row r="15" spans="1:8" x14ac:dyDescent="0.2">
      <c r="A15">
        <v>9</v>
      </c>
      <c r="B15" t="s">
        <v>12</v>
      </c>
      <c r="C15" s="1">
        <v>19460.37</v>
      </c>
    </row>
    <row r="16" spans="1:8" x14ac:dyDescent="0.2">
      <c r="A16">
        <v>10</v>
      </c>
      <c r="B16" t="s">
        <v>13</v>
      </c>
      <c r="C16" s="1">
        <v>19350.46</v>
      </c>
    </row>
    <row r="19" spans="1:7" ht="19" x14ac:dyDescent="0.2">
      <c r="A19" s="3" t="s">
        <v>86</v>
      </c>
      <c r="B19" s="3"/>
      <c r="C19" s="3"/>
      <c r="D19" s="3"/>
      <c r="E19" s="3"/>
      <c r="F19" s="3"/>
    </row>
    <row r="21" spans="1:7" x14ac:dyDescent="0.2">
      <c r="A21" s="5" t="s">
        <v>83</v>
      </c>
      <c r="B21" s="5" t="s">
        <v>82</v>
      </c>
      <c r="C21" s="5" t="s">
        <v>84</v>
      </c>
      <c r="D21" s="13" t="s">
        <v>85</v>
      </c>
    </row>
    <row r="22" spans="1:7" ht="17" x14ac:dyDescent="0.25">
      <c r="A22" s="10" t="s">
        <v>87</v>
      </c>
      <c r="B22">
        <v>24728</v>
      </c>
      <c r="C22">
        <v>12079</v>
      </c>
      <c r="D22" s="11">
        <f t="shared" ref="D22:D24" si="0">(B22 - C22) / C22</f>
        <v>1.0471893368656346</v>
      </c>
    </row>
    <row r="23" spans="1:7" x14ac:dyDescent="0.2">
      <c r="A23" t="s">
        <v>88</v>
      </c>
      <c r="B23">
        <v>0.56999999999999995</v>
      </c>
      <c r="C23">
        <v>0.23</v>
      </c>
      <c r="D23" s="11">
        <f t="shared" si="0"/>
        <v>1.4782608695652173</v>
      </c>
    </row>
    <row r="24" spans="1:7" x14ac:dyDescent="0.2">
      <c r="A24" t="s">
        <v>89</v>
      </c>
      <c r="B24">
        <v>2.88</v>
      </c>
      <c r="C24">
        <v>2.85</v>
      </c>
      <c r="D24" s="11">
        <f t="shared" si="0"/>
        <v>1.0526315789473615E-2</v>
      </c>
    </row>
    <row r="27" spans="1:7" ht="19" x14ac:dyDescent="0.2">
      <c r="A27" s="3" t="s">
        <v>92</v>
      </c>
      <c r="B27" s="3"/>
      <c r="C27" s="3"/>
      <c r="D27" s="3"/>
      <c r="E27" s="3"/>
      <c r="F27" s="3"/>
      <c r="G27" s="12"/>
    </row>
    <row r="29" spans="1:7" x14ac:dyDescent="0.2">
      <c r="A29" s="5" t="s">
        <v>77</v>
      </c>
      <c r="B29" s="5" t="s">
        <v>90</v>
      </c>
      <c r="C29" s="5" t="s">
        <v>78</v>
      </c>
      <c r="D29" s="5" t="s">
        <v>91</v>
      </c>
      <c r="E29" s="5" t="s">
        <v>76</v>
      </c>
    </row>
    <row r="30" spans="1:7" x14ac:dyDescent="0.2">
      <c r="A30" t="s">
        <v>21</v>
      </c>
      <c r="B30">
        <v>890342</v>
      </c>
      <c r="C30" s="1">
        <v>17236.71</v>
      </c>
      <c r="D30">
        <v>4.08</v>
      </c>
      <c r="E30">
        <v>1</v>
      </c>
    </row>
    <row r="31" spans="1:7" x14ac:dyDescent="0.2">
      <c r="A31" t="s">
        <v>36</v>
      </c>
      <c r="B31">
        <v>776874</v>
      </c>
      <c r="C31" s="1">
        <v>15600.23</v>
      </c>
      <c r="D31">
        <v>3.56</v>
      </c>
      <c r="E31">
        <v>2</v>
      </c>
    </row>
    <row r="32" spans="1:7" x14ac:dyDescent="0.2">
      <c r="A32" t="s">
        <v>15</v>
      </c>
      <c r="B32">
        <v>993635</v>
      </c>
      <c r="C32" s="1">
        <v>18309.18</v>
      </c>
      <c r="D32">
        <v>3.43</v>
      </c>
      <c r="E32">
        <v>3</v>
      </c>
    </row>
    <row r="33" spans="1:6" x14ac:dyDescent="0.2">
      <c r="A33" t="s">
        <v>10</v>
      </c>
      <c r="B33">
        <v>577929</v>
      </c>
      <c r="C33" s="1">
        <v>20959.18</v>
      </c>
      <c r="D33">
        <v>3</v>
      </c>
      <c r="E33">
        <v>4</v>
      </c>
    </row>
    <row r="34" spans="1:6" x14ac:dyDescent="0.2">
      <c r="A34" s="6" t="s">
        <v>4</v>
      </c>
      <c r="B34" s="6">
        <v>734821</v>
      </c>
      <c r="C34" s="7">
        <v>24728.15</v>
      </c>
      <c r="D34" s="6">
        <v>2.88</v>
      </c>
      <c r="E34" s="6">
        <v>5</v>
      </c>
    </row>
    <row r="35" spans="1:6" x14ac:dyDescent="0.2">
      <c r="A35" t="s">
        <v>54</v>
      </c>
      <c r="B35">
        <v>643816</v>
      </c>
      <c r="C35" s="1">
        <v>12078.7</v>
      </c>
      <c r="D35">
        <v>2.85</v>
      </c>
      <c r="E35">
        <v>6</v>
      </c>
    </row>
    <row r="36" spans="1:6" x14ac:dyDescent="0.2">
      <c r="A36" t="s">
        <v>6</v>
      </c>
      <c r="B36">
        <v>670587</v>
      </c>
      <c r="C36" s="1">
        <v>23686.9</v>
      </c>
      <c r="D36">
        <v>2.29</v>
      </c>
      <c r="E36">
        <v>7</v>
      </c>
    </row>
    <row r="39" spans="1:6" ht="19" x14ac:dyDescent="0.2">
      <c r="A39" s="3" t="s">
        <v>93</v>
      </c>
      <c r="B39" s="3"/>
      <c r="C39" s="3"/>
      <c r="D39" s="3"/>
      <c r="E39" s="3"/>
      <c r="F39" s="3"/>
    </row>
    <row r="41" spans="1:6" x14ac:dyDescent="0.2">
      <c r="A41" s="5" t="s">
        <v>77</v>
      </c>
      <c r="B41" s="5" t="s">
        <v>94</v>
      </c>
      <c r="C41" s="5" t="s">
        <v>95</v>
      </c>
      <c r="D41" s="5" t="s">
        <v>96</v>
      </c>
    </row>
    <row r="42" spans="1:6" x14ac:dyDescent="0.2">
      <c r="A42" s="6" t="s">
        <v>22</v>
      </c>
      <c r="B42" s="7">
        <v>23881.86</v>
      </c>
      <c r="C42" s="7">
        <v>16782.189999999999</v>
      </c>
      <c r="D42" s="14">
        <f>(B42 - C42) / C42</f>
        <v>0.42304788588378528</v>
      </c>
    </row>
    <row r="43" spans="1:6" x14ac:dyDescent="0.2">
      <c r="A43" t="s">
        <v>29</v>
      </c>
      <c r="B43" s="1">
        <v>24909.45</v>
      </c>
      <c r="C43" s="1">
        <v>18793.21</v>
      </c>
      <c r="D43" s="11">
        <f t="shared" ref="D43:D45" si="1">(B43 - C43) / C43</f>
        <v>0.32544945754344268</v>
      </c>
    </row>
    <row r="44" spans="1:6" x14ac:dyDescent="0.2">
      <c r="A44" t="s">
        <v>43</v>
      </c>
      <c r="B44" s="1">
        <v>19497.5</v>
      </c>
      <c r="C44" s="1">
        <v>16166.3</v>
      </c>
      <c r="D44" s="11">
        <f t="shared" si="1"/>
        <v>0.20605828173422494</v>
      </c>
    </row>
    <row r="45" spans="1:6" x14ac:dyDescent="0.2">
      <c r="A45" t="s">
        <v>9</v>
      </c>
      <c r="B45" s="1">
        <v>24288.46</v>
      </c>
      <c r="C45" s="1">
        <v>23596.39</v>
      </c>
      <c r="D45" s="11">
        <f t="shared" si="1"/>
        <v>2.9329486417201941E-2</v>
      </c>
    </row>
  </sheetData>
  <mergeCells count="6">
    <mergeCell ref="A39:F39"/>
    <mergeCell ref="A19:F19"/>
    <mergeCell ref="A27:F27"/>
    <mergeCell ref="A1:H1"/>
    <mergeCell ref="A2:H2"/>
    <mergeCell ref="A4:F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B81E-053B-B34D-8318-970A09240E90}">
  <dimension ref="A1:D52"/>
  <sheetViews>
    <sheetView workbookViewId="0">
      <selection activeCell="J13" sqref="J13"/>
    </sheetView>
  </sheetViews>
  <sheetFormatPr baseColWidth="10" defaultRowHeight="16" x14ac:dyDescent="0.2"/>
  <cols>
    <col min="1" max="1" width="8" bestFit="1" customWidth="1"/>
    <col min="2" max="2" width="15.1640625" bestFit="1" customWidth="1"/>
    <col min="3" max="3" width="15.83203125" bestFit="1" customWidth="1"/>
    <col min="4" max="4" width="14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1322</v>
      </c>
      <c r="C2">
        <v>8</v>
      </c>
      <c r="D2">
        <v>24728.15</v>
      </c>
    </row>
    <row r="3" spans="1:4" x14ac:dyDescent="0.2">
      <c r="A3" t="s">
        <v>5</v>
      </c>
      <c r="B3">
        <v>14012</v>
      </c>
      <c r="C3">
        <v>42</v>
      </c>
      <c r="D3">
        <v>23753.23</v>
      </c>
    </row>
    <row r="4" spans="1:4" x14ac:dyDescent="0.2">
      <c r="A4" t="s">
        <v>6</v>
      </c>
      <c r="B4">
        <v>1304</v>
      </c>
      <c r="C4">
        <v>6</v>
      </c>
      <c r="D4">
        <v>23686.9</v>
      </c>
    </row>
    <row r="5" spans="1:4" x14ac:dyDescent="0.2">
      <c r="A5" t="s">
        <v>7</v>
      </c>
      <c r="B5">
        <v>1545</v>
      </c>
      <c r="C5">
        <v>12</v>
      </c>
      <c r="D5">
        <v>23609.9</v>
      </c>
    </row>
    <row r="6" spans="1:4" x14ac:dyDescent="0.2">
      <c r="A6" t="s">
        <v>8</v>
      </c>
      <c r="B6">
        <v>38616</v>
      </c>
      <c r="C6">
        <v>125</v>
      </c>
      <c r="D6">
        <v>23136.81</v>
      </c>
    </row>
    <row r="7" spans="1:4" x14ac:dyDescent="0.2">
      <c r="A7" t="s">
        <v>9</v>
      </c>
      <c r="B7">
        <v>66956</v>
      </c>
      <c r="C7">
        <v>263</v>
      </c>
      <c r="D7">
        <v>22036.49</v>
      </c>
    </row>
    <row r="8" spans="1:4" x14ac:dyDescent="0.2">
      <c r="A8" t="s">
        <v>10</v>
      </c>
      <c r="B8">
        <v>823</v>
      </c>
      <c r="C8">
        <v>8</v>
      </c>
      <c r="D8">
        <v>20959.18</v>
      </c>
    </row>
    <row r="9" spans="1:4" x14ac:dyDescent="0.2">
      <c r="A9" t="s">
        <v>11</v>
      </c>
      <c r="B9">
        <v>7047</v>
      </c>
      <c r="C9">
        <v>26</v>
      </c>
      <c r="D9">
        <v>20317.5</v>
      </c>
    </row>
    <row r="10" spans="1:4" x14ac:dyDescent="0.2">
      <c r="A10" t="s">
        <v>12</v>
      </c>
      <c r="B10">
        <v>14894</v>
      </c>
      <c r="C10">
        <v>51</v>
      </c>
      <c r="D10">
        <v>19460.37</v>
      </c>
    </row>
    <row r="11" spans="1:4" x14ac:dyDescent="0.2">
      <c r="A11" t="s">
        <v>13</v>
      </c>
      <c r="B11">
        <v>4395</v>
      </c>
      <c r="C11">
        <v>30</v>
      </c>
      <c r="D11">
        <v>19350.46</v>
      </c>
    </row>
    <row r="12" spans="1:4" x14ac:dyDescent="0.2">
      <c r="A12" t="s">
        <v>14</v>
      </c>
      <c r="B12">
        <v>18168</v>
      </c>
      <c r="C12">
        <v>62</v>
      </c>
      <c r="D12">
        <v>19350.18</v>
      </c>
    </row>
    <row r="13" spans="1:4" x14ac:dyDescent="0.2">
      <c r="A13" t="s">
        <v>15</v>
      </c>
      <c r="B13">
        <v>2111</v>
      </c>
      <c r="C13">
        <v>6</v>
      </c>
      <c r="D13">
        <v>18309.18</v>
      </c>
    </row>
    <row r="14" spans="1:4" x14ac:dyDescent="0.2">
      <c r="A14" t="s">
        <v>16</v>
      </c>
      <c r="B14">
        <v>1036</v>
      </c>
      <c r="C14">
        <v>9</v>
      </c>
      <c r="D14">
        <v>18162.27</v>
      </c>
    </row>
    <row r="15" spans="1:4" x14ac:dyDescent="0.2">
      <c r="A15" t="s">
        <v>17</v>
      </c>
      <c r="B15">
        <v>1725</v>
      </c>
      <c r="C15">
        <v>17</v>
      </c>
      <c r="D15">
        <v>18090.39</v>
      </c>
    </row>
    <row r="16" spans="1:4" x14ac:dyDescent="0.2">
      <c r="A16" t="s">
        <v>18</v>
      </c>
      <c r="B16">
        <v>9916</v>
      </c>
      <c r="C16">
        <v>45</v>
      </c>
      <c r="D16">
        <v>18034.830000000002</v>
      </c>
    </row>
    <row r="17" spans="1:4" x14ac:dyDescent="0.2">
      <c r="A17" t="s">
        <v>19</v>
      </c>
      <c r="B17">
        <v>7006</v>
      </c>
      <c r="C17">
        <v>45</v>
      </c>
      <c r="D17">
        <v>17864.509999999998</v>
      </c>
    </row>
    <row r="18" spans="1:4" x14ac:dyDescent="0.2">
      <c r="A18" t="s">
        <v>20</v>
      </c>
      <c r="B18">
        <v>5377</v>
      </c>
      <c r="C18">
        <v>21</v>
      </c>
      <c r="D18">
        <v>17729.45</v>
      </c>
    </row>
    <row r="19" spans="1:4" x14ac:dyDescent="0.2">
      <c r="A19" t="s">
        <v>21</v>
      </c>
      <c r="B19">
        <v>1841</v>
      </c>
      <c r="C19">
        <v>10</v>
      </c>
      <c r="D19">
        <v>17236.71</v>
      </c>
    </row>
    <row r="20" spans="1:4" x14ac:dyDescent="0.2">
      <c r="A20" t="s">
        <v>22</v>
      </c>
      <c r="B20">
        <v>3032</v>
      </c>
      <c r="C20">
        <v>24</v>
      </c>
      <c r="D20">
        <v>17080.72</v>
      </c>
    </row>
    <row r="21" spans="1:4" x14ac:dyDescent="0.2">
      <c r="A21" t="s">
        <v>23</v>
      </c>
      <c r="B21">
        <v>23483</v>
      </c>
      <c r="C21">
        <v>110</v>
      </c>
      <c r="D21">
        <v>17072.89</v>
      </c>
    </row>
    <row r="22" spans="1:4" x14ac:dyDescent="0.2">
      <c r="A22" t="s">
        <v>24</v>
      </c>
      <c r="B22">
        <v>22726</v>
      </c>
      <c r="C22">
        <v>115</v>
      </c>
      <c r="D22">
        <v>16995</v>
      </c>
    </row>
    <row r="23" spans="1:4" x14ac:dyDescent="0.2">
      <c r="A23" t="s">
        <v>25</v>
      </c>
      <c r="B23">
        <v>2489</v>
      </c>
      <c r="C23">
        <v>13</v>
      </c>
      <c r="D23">
        <v>16875.14</v>
      </c>
    </row>
    <row r="24" spans="1:4" x14ac:dyDescent="0.2">
      <c r="A24" t="s">
        <v>26</v>
      </c>
      <c r="B24">
        <v>10709</v>
      </c>
      <c r="C24">
        <v>50</v>
      </c>
      <c r="D24">
        <v>16753.96</v>
      </c>
    </row>
    <row r="25" spans="1:4" x14ac:dyDescent="0.2">
      <c r="A25" t="s">
        <v>27</v>
      </c>
      <c r="B25">
        <v>15238</v>
      </c>
      <c r="C25">
        <v>78</v>
      </c>
      <c r="D25">
        <v>16668.740000000002</v>
      </c>
    </row>
    <row r="26" spans="1:4" x14ac:dyDescent="0.2">
      <c r="A26" t="s">
        <v>28</v>
      </c>
      <c r="B26">
        <v>40753</v>
      </c>
      <c r="C26">
        <v>197</v>
      </c>
      <c r="D26">
        <v>16497.16</v>
      </c>
    </row>
    <row r="27" spans="1:4" x14ac:dyDescent="0.2">
      <c r="A27" t="s">
        <v>29</v>
      </c>
      <c r="B27">
        <v>6281</v>
      </c>
      <c r="C27">
        <v>43</v>
      </c>
      <c r="D27">
        <v>16491.27</v>
      </c>
    </row>
    <row r="28" spans="1:4" x14ac:dyDescent="0.2">
      <c r="A28" t="s">
        <v>30</v>
      </c>
      <c r="B28">
        <v>13831</v>
      </c>
      <c r="C28">
        <v>81</v>
      </c>
      <c r="D28">
        <v>16320.04</v>
      </c>
    </row>
    <row r="29" spans="1:4" x14ac:dyDescent="0.2">
      <c r="A29" t="s">
        <v>31</v>
      </c>
      <c r="B29">
        <v>7593</v>
      </c>
      <c r="C29">
        <v>61</v>
      </c>
      <c r="D29">
        <v>16149.04</v>
      </c>
    </row>
    <row r="30" spans="1:4" x14ac:dyDescent="0.2">
      <c r="A30" t="s">
        <v>32</v>
      </c>
      <c r="B30">
        <v>2176</v>
      </c>
      <c r="C30">
        <v>11</v>
      </c>
      <c r="D30">
        <v>16114.11</v>
      </c>
    </row>
    <row r="31" spans="1:4" x14ac:dyDescent="0.2">
      <c r="A31" t="s">
        <v>33</v>
      </c>
      <c r="B31">
        <v>18648</v>
      </c>
      <c r="C31">
        <v>69</v>
      </c>
      <c r="D31">
        <v>16012.88</v>
      </c>
    </row>
    <row r="32" spans="1:4" x14ac:dyDescent="0.2">
      <c r="A32" t="s">
        <v>34</v>
      </c>
      <c r="B32">
        <v>3464</v>
      </c>
      <c r="C32">
        <v>29</v>
      </c>
      <c r="D32">
        <v>16005.85</v>
      </c>
    </row>
    <row r="33" spans="1:4" x14ac:dyDescent="0.2">
      <c r="A33" t="s">
        <v>35</v>
      </c>
      <c r="B33">
        <v>14902</v>
      </c>
      <c r="C33">
        <v>78</v>
      </c>
      <c r="D33">
        <v>15915.6</v>
      </c>
    </row>
    <row r="34" spans="1:4" x14ac:dyDescent="0.2">
      <c r="A34" t="s">
        <v>36</v>
      </c>
      <c r="B34">
        <v>1803</v>
      </c>
      <c r="C34">
        <v>6</v>
      </c>
      <c r="D34">
        <v>15600.23</v>
      </c>
    </row>
    <row r="35" spans="1:4" x14ac:dyDescent="0.2">
      <c r="A35" t="s">
        <v>37</v>
      </c>
      <c r="B35">
        <v>3697</v>
      </c>
      <c r="C35">
        <v>19</v>
      </c>
      <c r="D35">
        <v>15467.39</v>
      </c>
    </row>
    <row r="36" spans="1:4" x14ac:dyDescent="0.2">
      <c r="A36" t="s">
        <v>38</v>
      </c>
      <c r="B36">
        <v>16815</v>
      </c>
      <c r="C36">
        <v>106</v>
      </c>
      <c r="D36">
        <v>15465.87</v>
      </c>
    </row>
    <row r="37" spans="1:4" x14ac:dyDescent="0.2">
      <c r="A37" t="s">
        <v>39</v>
      </c>
      <c r="B37">
        <v>4007</v>
      </c>
      <c r="C37">
        <v>20</v>
      </c>
      <c r="D37">
        <v>15334.69</v>
      </c>
    </row>
    <row r="38" spans="1:4" x14ac:dyDescent="0.2">
      <c r="A38" t="s">
        <v>40</v>
      </c>
      <c r="B38">
        <v>9624</v>
      </c>
      <c r="C38">
        <v>49</v>
      </c>
      <c r="D38">
        <v>15279.43</v>
      </c>
    </row>
    <row r="39" spans="1:4" x14ac:dyDescent="0.2">
      <c r="A39" t="s">
        <v>41</v>
      </c>
      <c r="B39">
        <v>1819</v>
      </c>
      <c r="C39">
        <v>11</v>
      </c>
      <c r="D39">
        <v>15268.73</v>
      </c>
    </row>
    <row r="40" spans="1:4" x14ac:dyDescent="0.2">
      <c r="A40" t="s">
        <v>42</v>
      </c>
      <c r="B40">
        <v>10635</v>
      </c>
      <c r="C40">
        <v>61</v>
      </c>
      <c r="D40">
        <v>15146.42</v>
      </c>
    </row>
    <row r="41" spans="1:4" x14ac:dyDescent="0.2">
      <c r="A41" t="s">
        <v>43</v>
      </c>
      <c r="B41">
        <v>6200</v>
      </c>
      <c r="C41">
        <v>32</v>
      </c>
      <c r="D41">
        <v>15011.59</v>
      </c>
    </row>
    <row r="42" spans="1:4" x14ac:dyDescent="0.2">
      <c r="A42" t="s">
        <v>44</v>
      </c>
      <c r="B42">
        <v>11349</v>
      </c>
      <c r="C42">
        <v>70</v>
      </c>
      <c r="D42">
        <v>14982.07</v>
      </c>
    </row>
    <row r="43" spans="1:4" x14ac:dyDescent="0.2">
      <c r="A43" t="s">
        <v>45</v>
      </c>
      <c r="B43">
        <v>45920</v>
      </c>
      <c r="C43">
        <v>163</v>
      </c>
      <c r="D43">
        <v>14978.54</v>
      </c>
    </row>
    <row r="44" spans="1:4" x14ac:dyDescent="0.2">
      <c r="A44" t="s">
        <v>46</v>
      </c>
      <c r="B44">
        <v>13917</v>
      </c>
      <c r="C44">
        <v>69</v>
      </c>
      <c r="D44">
        <v>14714.68</v>
      </c>
    </row>
    <row r="45" spans="1:4" x14ac:dyDescent="0.2">
      <c r="A45" t="s">
        <v>47</v>
      </c>
      <c r="B45">
        <v>7350</v>
      </c>
      <c r="C45">
        <v>55</v>
      </c>
      <c r="D45">
        <v>14565.47</v>
      </c>
    </row>
    <row r="46" spans="1:4" x14ac:dyDescent="0.2">
      <c r="A46" t="s">
        <v>48</v>
      </c>
      <c r="B46">
        <v>8994</v>
      </c>
      <c r="C46">
        <v>48</v>
      </c>
      <c r="D46">
        <v>14524</v>
      </c>
    </row>
    <row r="47" spans="1:4" x14ac:dyDescent="0.2">
      <c r="A47" t="s">
        <v>49</v>
      </c>
      <c r="B47">
        <v>8928</v>
      </c>
      <c r="C47">
        <v>55</v>
      </c>
      <c r="D47">
        <v>14460.86</v>
      </c>
    </row>
    <row r="48" spans="1:4" x14ac:dyDescent="0.2">
      <c r="A48" t="s">
        <v>50</v>
      </c>
      <c r="B48">
        <v>7128</v>
      </c>
      <c r="C48">
        <v>54</v>
      </c>
      <c r="D48">
        <v>14258.67</v>
      </c>
    </row>
    <row r="49" spans="1:4" x14ac:dyDescent="0.2">
      <c r="A49" t="s">
        <v>51</v>
      </c>
      <c r="B49">
        <v>4966</v>
      </c>
      <c r="C49">
        <v>31</v>
      </c>
      <c r="D49">
        <v>14227.62</v>
      </c>
    </row>
    <row r="50" spans="1:4" x14ac:dyDescent="0.2">
      <c r="A50" t="s">
        <v>52</v>
      </c>
      <c r="B50">
        <v>7534</v>
      </c>
      <c r="C50">
        <v>42</v>
      </c>
      <c r="D50">
        <v>13961.6</v>
      </c>
    </row>
    <row r="51" spans="1:4" x14ac:dyDescent="0.2">
      <c r="A51" t="s">
        <v>53</v>
      </c>
      <c r="B51">
        <v>6605</v>
      </c>
      <c r="C51">
        <v>36</v>
      </c>
      <c r="D51">
        <v>13781.03</v>
      </c>
    </row>
    <row r="52" spans="1:4" x14ac:dyDescent="0.2">
      <c r="A52" t="s">
        <v>54</v>
      </c>
      <c r="B52">
        <v>1085</v>
      </c>
      <c r="C52">
        <v>6</v>
      </c>
      <c r="D52">
        <v>12078.7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EDD5-7620-5A4C-8B4E-D02ED8849D6F}">
  <dimension ref="A1:O8"/>
  <sheetViews>
    <sheetView workbookViewId="0">
      <selection activeCell="H23" sqref="H23"/>
    </sheetView>
  </sheetViews>
  <sheetFormatPr baseColWidth="10" defaultRowHeight="16" x14ac:dyDescent="0.2"/>
  <cols>
    <col min="1" max="1" width="8" bestFit="1" customWidth="1"/>
    <col min="2" max="2" width="15.1640625" customWidth="1"/>
    <col min="3" max="3" width="14.5" bestFit="1" customWidth="1"/>
    <col min="4" max="4" width="15.83203125" customWidth="1"/>
    <col min="5" max="5" width="17" bestFit="1" customWidth="1"/>
    <col min="6" max="6" width="17.33203125" bestFit="1" customWidth="1"/>
    <col min="7" max="7" width="13.1640625" bestFit="1" customWidth="1"/>
    <col min="8" max="8" width="15.33203125" bestFit="1" customWidth="1"/>
    <col min="9" max="9" width="17.1640625" bestFit="1" customWidth="1"/>
    <col min="10" max="10" width="12.6640625" bestFit="1" customWidth="1"/>
    <col min="11" max="11" width="11.6640625" bestFit="1" customWidth="1"/>
    <col min="12" max="12" width="14.1640625" bestFit="1" customWidth="1"/>
    <col min="13" max="13" width="21.1640625" customWidth="1"/>
    <col min="14" max="14" width="18.5" bestFit="1" customWidth="1"/>
    <col min="15" max="15" width="13.6640625" bestFit="1" customWidth="1"/>
  </cols>
  <sheetData>
    <row r="1" spans="1:15" x14ac:dyDescent="0.2">
      <c r="A1" t="s">
        <v>0</v>
      </c>
      <c r="B1" t="s">
        <v>1</v>
      </c>
      <c r="C1" t="s">
        <v>3</v>
      </c>
      <c r="D1" t="s">
        <v>2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 x14ac:dyDescent="0.2">
      <c r="A2" t="s">
        <v>21</v>
      </c>
      <c r="B2">
        <v>1841</v>
      </c>
      <c r="C2">
        <v>17236.71</v>
      </c>
      <c r="D2">
        <v>10</v>
      </c>
      <c r="E2">
        <v>890342</v>
      </c>
      <c r="F2">
        <v>0.35</v>
      </c>
      <c r="G2">
        <v>20.02</v>
      </c>
      <c r="H2">
        <v>9.4499999999999993</v>
      </c>
      <c r="I2">
        <v>3.33</v>
      </c>
      <c r="J2">
        <v>17.29</v>
      </c>
      <c r="K2">
        <v>24.32</v>
      </c>
      <c r="L2">
        <v>11.99</v>
      </c>
      <c r="M2">
        <v>12</v>
      </c>
      <c r="N2">
        <v>4.08</v>
      </c>
      <c r="O2">
        <v>1</v>
      </c>
    </row>
    <row r="3" spans="1:15" x14ac:dyDescent="0.2">
      <c r="A3" t="s">
        <v>36</v>
      </c>
      <c r="B3">
        <v>1803</v>
      </c>
      <c r="C3">
        <v>15600.23</v>
      </c>
      <c r="D3">
        <v>6</v>
      </c>
      <c r="E3">
        <v>776874</v>
      </c>
      <c r="F3">
        <v>0.27</v>
      </c>
      <c r="G3">
        <v>17.46</v>
      </c>
      <c r="H3">
        <v>7.19</v>
      </c>
      <c r="I3">
        <v>2.95</v>
      </c>
      <c r="J3">
        <v>15.85</v>
      </c>
      <c r="K3">
        <v>23.54</v>
      </c>
      <c r="L3">
        <v>11.37</v>
      </c>
      <c r="M3">
        <v>9</v>
      </c>
      <c r="N3">
        <v>3.56</v>
      </c>
      <c r="O3">
        <v>2</v>
      </c>
    </row>
    <row r="4" spans="1:15" x14ac:dyDescent="0.2">
      <c r="A4" t="s">
        <v>15</v>
      </c>
      <c r="B4">
        <v>2111</v>
      </c>
      <c r="C4">
        <v>18309.18</v>
      </c>
      <c r="D4">
        <v>6</v>
      </c>
      <c r="E4">
        <v>993635</v>
      </c>
      <c r="F4">
        <v>0.56999999999999995</v>
      </c>
      <c r="G4">
        <v>17.649999999999999</v>
      </c>
      <c r="H4">
        <v>5.98</v>
      </c>
      <c r="I4">
        <v>5.41</v>
      </c>
      <c r="J4">
        <v>19.61</v>
      </c>
      <c r="K4">
        <v>20.82</v>
      </c>
      <c r="L4">
        <v>13.68</v>
      </c>
      <c r="M4">
        <v>7</v>
      </c>
      <c r="N4">
        <v>3.43</v>
      </c>
      <c r="O4">
        <v>3</v>
      </c>
    </row>
    <row r="5" spans="1:15" x14ac:dyDescent="0.2">
      <c r="A5" t="s">
        <v>10</v>
      </c>
      <c r="B5">
        <v>823</v>
      </c>
      <c r="C5">
        <v>20959.18</v>
      </c>
      <c r="D5">
        <v>8</v>
      </c>
      <c r="E5">
        <v>577929</v>
      </c>
      <c r="F5">
        <v>0.32</v>
      </c>
      <c r="G5">
        <v>17.89</v>
      </c>
      <c r="H5">
        <v>11.59</v>
      </c>
      <c r="I5">
        <v>3.86</v>
      </c>
      <c r="J5">
        <v>17.47</v>
      </c>
      <c r="K5">
        <v>22.91</v>
      </c>
      <c r="L5">
        <v>13.54</v>
      </c>
      <c r="M5">
        <v>9</v>
      </c>
      <c r="N5">
        <v>3</v>
      </c>
      <c r="O5">
        <v>4</v>
      </c>
    </row>
    <row r="6" spans="1:15" x14ac:dyDescent="0.2">
      <c r="A6" t="s">
        <v>4</v>
      </c>
      <c r="B6">
        <v>1322</v>
      </c>
      <c r="C6">
        <v>24728.15</v>
      </c>
      <c r="D6">
        <v>8</v>
      </c>
      <c r="E6">
        <v>734821</v>
      </c>
      <c r="F6">
        <v>0.56999999999999995</v>
      </c>
      <c r="G6">
        <v>17.440000000000001</v>
      </c>
      <c r="H6">
        <v>11.64</v>
      </c>
      <c r="I6">
        <v>6.52</v>
      </c>
      <c r="J6">
        <v>12.84</v>
      </c>
      <c r="K6">
        <v>24.41</v>
      </c>
      <c r="L6">
        <v>12.58</v>
      </c>
      <c r="M6">
        <v>8</v>
      </c>
      <c r="N6">
        <v>2.88</v>
      </c>
      <c r="O6">
        <v>5</v>
      </c>
    </row>
    <row r="7" spans="1:15" x14ac:dyDescent="0.2">
      <c r="A7" t="s">
        <v>54</v>
      </c>
      <c r="B7">
        <v>1085</v>
      </c>
      <c r="C7">
        <v>12078.7</v>
      </c>
      <c r="D7">
        <v>6</v>
      </c>
      <c r="E7">
        <v>643816</v>
      </c>
      <c r="F7">
        <v>0.23</v>
      </c>
      <c r="G7">
        <v>17.29</v>
      </c>
      <c r="H7">
        <v>4.08</v>
      </c>
      <c r="I7">
        <v>3.86</v>
      </c>
      <c r="J7">
        <v>20.32</v>
      </c>
      <c r="K7">
        <v>18.149999999999999</v>
      </c>
      <c r="L7">
        <v>14.45</v>
      </c>
      <c r="M7">
        <v>13</v>
      </c>
      <c r="N7">
        <v>2.85</v>
      </c>
      <c r="O7">
        <v>6</v>
      </c>
    </row>
    <row r="8" spans="1:15" x14ac:dyDescent="0.2">
      <c r="A8" t="s">
        <v>6</v>
      </c>
      <c r="B8">
        <v>1304</v>
      </c>
      <c r="C8">
        <v>23686.9</v>
      </c>
      <c r="D8">
        <v>6</v>
      </c>
      <c r="E8">
        <v>670587</v>
      </c>
      <c r="F8">
        <v>0.63</v>
      </c>
      <c r="G8">
        <v>20.6</v>
      </c>
      <c r="H8">
        <v>3.4</v>
      </c>
      <c r="I8">
        <v>7.1</v>
      </c>
      <c r="J8">
        <v>12.6</v>
      </c>
      <c r="K8">
        <v>18.5</v>
      </c>
      <c r="L8">
        <v>11</v>
      </c>
      <c r="M8">
        <v>7</v>
      </c>
      <c r="N8">
        <v>2.29</v>
      </c>
      <c r="O8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D510-63CC-BE42-B9A4-F1B133095D32}">
  <dimension ref="A1:D52"/>
  <sheetViews>
    <sheetView workbookViewId="0">
      <selection activeCell="I22" sqref="I22"/>
    </sheetView>
  </sheetViews>
  <sheetFormatPr baseColWidth="10" defaultRowHeight="16" x14ac:dyDescent="0.2"/>
  <cols>
    <col min="1" max="1" width="8" bestFit="1" customWidth="1"/>
    <col min="2" max="2" width="14.5" bestFit="1" customWidth="1"/>
    <col min="3" max="3" width="17.33203125" bestFit="1" customWidth="1"/>
    <col min="4" max="4" width="21.83203125" bestFit="1" customWidth="1"/>
  </cols>
  <sheetData>
    <row r="1" spans="1:4" x14ac:dyDescent="0.2">
      <c r="A1" t="s">
        <v>0</v>
      </c>
      <c r="B1" t="s">
        <v>3</v>
      </c>
      <c r="C1" t="s">
        <v>56</v>
      </c>
      <c r="D1" t="s">
        <v>66</v>
      </c>
    </row>
    <row r="2" spans="1:4" x14ac:dyDescent="0.2">
      <c r="A2" t="s">
        <v>6</v>
      </c>
      <c r="B2">
        <v>31118.23</v>
      </c>
      <c r="C2">
        <v>0.63</v>
      </c>
      <c r="D2" t="s">
        <v>67</v>
      </c>
    </row>
    <row r="3" spans="1:4" x14ac:dyDescent="0.2">
      <c r="A3" t="s">
        <v>4</v>
      </c>
      <c r="B3">
        <v>24894.04</v>
      </c>
      <c r="C3">
        <v>0.56999999999999995</v>
      </c>
      <c r="D3" t="s">
        <v>67</v>
      </c>
    </row>
    <row r="4" spans="1:4" x14ac:dyDescent="0.2">
      <c r="A4" t="s">
        <v>7</v>
      </c>
      <c r="B4">
        <v>23849.87</v>
      </c>
      <c r="C4">
        <v>0.56000000000000005</v>
      </c>
      <c r="D4" t="s">
        <v>67</v>
      </c>
    </row>
    <row r="5" spans="1:4" x14ac:dyDescent="0.2">
      <c r="A5" t="s">
        <v>8</v>
      </c>
      <c r="B5">
        <v>23533.25</v>
      </c>
      <c r="C5">
        <v>0.62</v>
      </c>
      <c r="D5" t="s">
        <v>67</v>
      </c>
    </row>
    <row r="6" spans="1:4" x14ac:dyDescent="0.2">
      <c r="A6" t="s">
        <v>9</v>
      </c>
      <c r="B6">
        <v>23330.240000000002</v>
      </c>
      <c r="C6">
        <v>0.72</v>
      </c>
      <c r="D6" t="s">
        <v>67</v>
      </c>
    </row>
    <row r="7" spans="1:4" x14ac:dyDescent="0.2">
      <c r="A7" t="s">
        <v>5</v>
      </c>
      <c r="B7">
        <v>23097.9</v>
      </c>
      <c r="C7">
        <v>0.47</v>
      </c>
      <c r="D7" t="s">
        <v>68</v>
      </c>
    </row>
    <row r="8" spans="1:4" x14ac:dyDescent="0.2">
      <c r="A8" t="s">
        <v>19</v>
      </c>
      <c r="B8">
        <v>21973.86</v>
      </c>
      <c r="C8">
        <v>0.32</v>
      </c>
      <c r="D8" t="s">
        <v>68</v>
      </c>
    </row>
    <row r="9" spans="1:4" x14ac:dyDescent="0.2">
      <c r="A9" t="s">
        <v>13</v>
      </c>
      <c r="B9">
        <v>21804.33</v>
      </c>
      <c r="C9">
        <v>0.59</v>
      </c>
      <c r="D9" t="s">
        <v>67</v>
      </c>
    </row>
    <row r="10" spans="1:4" x14ac:dyDescent="0.2">
      <c r="A10" t="s">
        <v>11</v>
      </c>
      <c r="B10">
        <v>19892.59</v>
      </c>
      <c r="C10">
        <v>0.55000000000000004</v>
      </c>
      <c r="D10" t="s">
        <v>67</v>
      </c>
    </row>
    <row r="11" spans="1:4" x14ac:dyDescent="0.2">
      <c r="A11" t="s">
        <v>34</v>
      </c>
      <c r="B11">
        <v>19657.61</v>
      </c>
      <c r="C11">
        <v>0.33</v>
      </c>
      <c r="D11" t="s">
        <v>68</v>
      </c>
    </row>
    <row r="12" spans="1:4" x14ac:dyDescent="0.2">
      <c r="A12" t="s">
        <v>18</v>
      </c>
      <c r="B12">
        <v>19625.16</v>
      </c>
      <c r="C12">
        <v>0.49</v>
      </c>
      <c r="D12" t="s">
        <v>68</v>
      </c>
    </row>
    <row r="13" spans="1:4" x14ac:dyDescent="0.2">
      <c r="A13" t="s">
        <v>12</v>
      </c>
      <c r="B13">
        <v>19237.03</v>
      </c>
      <c r="C13">
        <v>0.47</v>
      </c>
      <c r="D13" t="s">
        <v>68</v>
      </c>
    </row>
    <row r="14" spans="1:4" x14ac:dyDescent="0.2">
      <c r="A14" t="s">
        <v>29</v>
      </c>
      <c r="B14">
        <v>18847.7</v>
      </c>
      <c r="C14">
        <v>0.42</v>
      </c>
      <c r="D14" t="s">
        <v>68</v>
      </c>
    </row>
    <row r="15" spans="1:4" x14ac:dyDescent="0.2">
      <c r="A15" t="s">
        <v>17</v>
      </c>
      <c r="B15">
        <v>17888.62</v>
      </c>
      <c r="C15">
        <v>0.3</v>
      </c>
      <c r="D15" t="s">
        <v>68</v>
      </c>
    </row>
    <row r="16" spans="1:4" x14ac:dyDescent="0.2">
      <c r="A16" t="s">
        <v>37</v>
      </c>
      <c r="B16">
        <v>17775.36</v>
      </c>
      <c r="C16">
        <v>0.4</v>
      </c>
      <c r="D16" t="s">
        <v>68</v>
      </c>
    </row>
    <row r="17" spans="1:4" x14ac:dyDescent="0.2">
      <c r="A17" t="s">
        <v>10</v>
      </c>
      <c r="B17">
        <v>17713.419999999998</v>
      </c>
      <c r="C17">
        <v>0.32</v>
      </c>
      <c r="D17" t="s">
        <v>68</v>
      </c>
    </row>
    <row r="18" spans="1:4" x14ac:dyDescent="0.2">
      <c r="A18" t="s">
        <v>14</v>
      </c>
      <c r="B18">
        <v>17701.41</v>
      </c>
      <c r="C18">
        <v>0.56000000000000005</v>
      </c>
      <c r="D18" t="s">
        <v>67</v>
      </c>
    </row>
    <row r="19" spans="1:4" x14ac:dyDescent="0.2">
      <c r="A19" t="s">
        <v>26</v>
      </c>
      <c r="B19">
        <v>17502.990000000002</v>
      </c>
      <c r="C19">
        <v>0.77</v>
      </c>
      <c r="D19" t="s">
        <v>69</v>
      </c>
    </row>
    <row r="20" spans="1:4" x14ac:dyDescent="0.2">
      <c r="A20" t="s">
        <v>31</v>
      </c>
      <c r="B20">
        <v>17452.52</v>
      </c>
      <c r="C20">
        <v>0.28999999999999998</v>
      </c>
      <c r="D20" t="s">
        <v>68</v>
      </c>
    </row>
    <row r="21" spans="1:4" x14ac:dyDescent="0.2">
      <c r="A21" t="s">
        <v>24</v>
      </c>
      <c r="B21">
        <v>17284.740000000002</v>
      </c>
      <c r="C21">
        <v>0.44</v>
      </c>
      <c r="D21" t="s">
        <v>68</v>
      </c>
    </row>
    <row r="22" spans="1:4" x14ac:dyDescent="0.2">
      <c r="A22" t="s">
        <v>16</v>
      </c>
      <c r="B22">
        <v>17208</v>
      </c>
      <c r="C22">
        <v>0.56000000000000005</v>
      </c>
      <c r="D22" t="s">
        <v>67</v>
      </c>
    </row>
    <row r="23" spans="1:4" x14ac:dyDescent="0.2">
      <c r="A23" t="s">
        <v>28</v>
      </c>
      <c r="B23">
        <v>17161.97</v>
      </c>
      <c r="C23">
        <v>0.77</v>
      </c>
      <c r="D23" t="s">
        <v>69</v>
      </c>
    </row>
    <row r="24" spans="1:4" x14ac:dyDescent="0.2">
      <c r="A24" t="s">
        <v>15</v>
      </c>
      <c r="B24">
        <v>17023.11</v>
      </c>
      <c r="C24">
        <v>0.56999999999999995</v>
      </c>
      <c r="D24" t="s">
        <v>67</v>
      </c>
    </row>
    <row r="25" spans="1:4" x14ac:dyDescent="0.2">
      <c r="A25" t="s">
        <v>25</v>
      </c>
      <c r="B25">
        <v>16999.22</v>
      </c>
      <c r="C25">
        <v>0.17</v>
      </c>
      <c r="D25" t="s">
        <v>70</v>
      </c>
    </row>
    <row r="26" spans="1:4" x14ac:dyDescent="0.2">
      <c r="A26" t="s">
        <v>27</v>
      </c>
      <c r="B26">
        <v>16878.12</v>
      </c>
      <c r="C26">
        <v>0.64</v>
      </c>
      <c r="D26" t="s">
        <v>67</v>
      </c>
    </row>
    <row r="27" spans="1:4" x14ac:dyDescent="0.2">
      <c r="A27" t="s">
        <v>23</v>
      </c>
      <c r="B27">
        <v>16868.68</v>
      </c>
      <c r="C27">
        <v>0.55000000000000004</v>
      </c>
      <c r="D27" t="s">
        <v>67</v>
      </c>
    </row>
    <row r="28" spans="1:4" x14ac:dyDescent="0.2">
      <c r="A28" t="s">
        <v>20</v>
      </c>
      <c r="B28">
        <v>16841.66</v>
      </c>
      <c r="C28">
        <v>0.81</v>
      </c>
      <c r="D28" t="s">
        <v>69</v>
      </c>
    </row>
    <row r="29" spans="1:4" x14ac:dyDescent="0.2">
      <c r="A29" t="s">
        <v>21</v>
      </c>
      <c r="B29">
        <v>16788.29</v>
      </c>
      <c r="C29">
        <v>0.35</v>
      </c>
      <c r="D29" t="s">
        <v>68</v>
      </c>
    </row>
    <row r="30" spans="1:4" x14ac:dyDescent="0.2">
      <c r="A30" t="s">
        <v>35</v>
      </c>
      <c r="B30">
        <v>16676.37</v>
      </c>
      <c r="C30">
        <v>0.63</v>
      </c>
      <c r="D30" t="s">
        <v>67</v>
      </c>
    </row>
    <row r="31" spans="1:4" x14ac:dyDescent="0.2">
      <c r="A31" t="s">
        <v>32</v>
      </c>
      <c r="B31">
        <v>16458.169999999998</v>
      </c>
      <c r="C31">
        <v>0.41</v>
      </c>
      <c r="D31" t="s">
        <v>68</v>
      </c>
    </row>
    <row r="32" spans="1:4" x14ac:dyDescent="0.2">
      <c r="A32" t="s">
        <v>22</v>
      </c>
      <c r="B32">
        <v>16373.55</v>
      </c>
      <c r="C32">
        <v>0.82</v>
      </c>
      <c r="D32" t="s">
        <v>69</v>
      </c>
    </row>
    <row r="33" spans="1:4" x14ac:dyDescent="0.2">
      <c r="A33" t="s">
        <v>33</v>
      </c>
      <c r="B33">
        <v>16328.58</v>
      </c>
      <c r="C33">
        <v>0.39</v>
      </c>
      <c r="D33" t="s">
        <v>68</v>
      </c>
    </row>
    <row r="34" spans="1:4" x14ac:dyDescent="0.2">
      <c r="A34" t="s">
        <v>38</v>
      </c>
      <c r="B34">
        <v>16179.88</v>
      </c>
      <c r="C34">
        <v>0.46</v>
      </c>
      <c r="D34" t="s">
        <v>68</v>
      </c>
    </row>
    <row r="35" spans="1:4" x14ac:dyDescent="0.2">
      <c r="A35" t="s">
        <v>46</v>
      </c>
      <c r="B35">
        <v>15950.06</v>
      </c>
      <c r="C35">
        <v>0.55000000000000004</v>
      </c>
      <c r="D35" t="s">
        <v>67</v>
      </c>
    </row>
    <row r="36" spans="1:4" x14ac:dyDescent="0.2">
      <c r="A36" t="s">
        <v>30</v>
      </c>
      <c r="B36">
        <v>15931.05</v>
      </c>
      <c r="C36">
        <v>0.45</v>
      </c>
      <c r="D36" t="s">
        <v>68</v>
      </c>
    </row>
    <row r="37" spans="1:4" x14ac:dyDescent="0.2">
      <c r="A37" t="s">
        <v>43</v>
      </c>
      <c r="B37">
        <v>15873.99</v>
      </c>
      <c r="C37">
        <v>0.43</v>
      </c>
      <c r="D37" t="s">
        <v>68</v>
      </c>
    </row>
    <row r="38" spans="1:4" x14ac:dyDescent="0.2">
      <c r="A38" t="s">
        <v>41</v>
      </c>
      <c r="B38">
        <v>15781.3</v>
      </c>
      <c r="C38">
        <v>0.31</v>
      </c>
      <c r="D38" t="s">
        <v>68</v>
      </c>
    </row>
    <row r="39" spans="1:4" x14ac:dyDescent="0.2">
      <c r="A39" t="s">
        <v>40</v>
      </c>
      <c r="B39">
        <v>15643.44</v>
      </c>
      <c r="C39">
        <v>0.65</v>
      </c>
      <c r="D39" t="s">
        <v>67</v>
      </c>
    </row>
    <row r="40" spans="1:4" x14ac:dyDescent="0.2">
      <c r="A40" t="s">
        <v>36</v>
      </c>
      <c r="B40">
        <v>15580.82</v>
      </c>
      <c r="C40">
        <v>0.27</v>
      </c>
      <c r="D40" t="s">
        <v>68</v>
      </c>
    </row>
    <row r="41" spans="1:4" x14ac:dyDescent="0.2">
      <c r="A41" t="s">
        <v>42</v>
      </c>
      <c r="B41">
        <v>15432.19</v>
      </c>
      <c r="C41">
        <v>0.44</v>
      </c>
      <c r="D41" t="s">
        <v>68</v>
      </c>
    </row>
    <row r="42" spans="1:4" x14ac:dyDescent="0.2">
      <c r="A42" t="s">
        <v>48</v>
      </c>
      <c r="B42">
        <v>15027.53</v>
      </c>
      <c r="C42">
        <v>0.72</v>
      </c>
      <c r="D42" t="s">
        <v>67</v>
      </c>
    </row>
    <row r="43" spans="1:4" x14ac:dyDescent="0.2">
      <c r="A43" t="s">
        <v>50</v>
      </c>
      <c r="B43">
        <v>14684.19</v>
      </c>
      <c r="C43">
        <v>0.62</v>
      </c>
      <c r="D43" t="s">
        <v>67</v>
      </c>
    </row>
    <row r="44" spans="1:4" x14ac:dyDescent="0.2">
      <c r="A44" t="s">
        <v>49</v>
      </c>
      <c r="B44">
        <v>14422.04</v>
      </c>
      <c r="C44">
        <v>0.52</v>
      </c>
      <c r="D44" t="s">
        <v>67</v>
      </c>
    </row>
    <row r="45" spans="1:4" x14ac:dyDescent="0.2">
      <c r="A45" t="s">
        <v>45</v>
      </c>
      <c r="B45">
        <v>14350.43</v>
      </c>
      <c r="C45">
        <v>0.72</v>
      </c>
      <c r="D45" t="s">
        <v>67</v>
      </c>
    </row>
    <row r="46" spans="1:4" x14ac:dyDescent="0.2">
      <c r="A46" t="s">
        <v>51</v>
      </c>
      <c r="B46">
        <v>14323.94</v>
      </c>
      <c r="C46">
        <v>0.3</v>
      </c>
      <c r="D46" t="s">
        <v>68</v>
      </c>
    </row>
    <row r="47" spans="1:4" x14ac:dyDescent="0.2">
      <c r="A47" t="s">
        <v>39</v>
      </c>
      <c r="B47">
        <v>14265.52</v>
      </c>
      <c r="C47">
        <v>0.45</v>
      </c>
      <c r="D47" t="s">
        <v>68</v>
      </c>
    </row>
    <row r="48" spans="1:4" x14ac:dyDescent="0.2">
      <c r="A48" t="s">
        <v>44</v>
      </c>
      <c r="B48">
        <v>14132.41</v>
      </c>
      <c r="C48">
        <v>0.46</v>
      </c>
      <c r="D48" t="s">
        <v>68</v>
      </c>
    </row>
    <row r="49" spans="1:4" x14ac:dyDescent="0.2">
      <c r="A49" t="s">
        <v>47</v>
      </c>
      <c r="B49">
        <v>13825.32</v>
      </c>
      <c r="C49">
        <v>0.78</v>
      </c>
      <c r="D49" t="s">
        <v>69</v>
      </c>
    </row>
    <row r="50" spans="1:4" x14ac:dyDescent="0.2">
      <c r="A50" t="s">
        <v>53</v>
      </c>
      <c r="B50">
        <v>13634.37</v>
      </c>
      <c r="C50">
        <v>0.68</v>
      </c>
      <c r="D50" t="s">
        <v>67</v>
      </c>
    </row>
    <row r="51" spans="1:4" x14ac:dyDescent="0.2">
      <c r="A51" t="s">
        <v>52</v>
      </c>
      <c r="B51">
        <v>13172.9</v>
      </c>
      <c r="C51">
        <v>0.75</v>
      </c>
      <c r="D51" t="s">
        <v>69</v>
      </c>
    </row>
    <row r="52" spans="1:4" x14ac:dyDescent="0.2">
      <c r="A52" t="s">
        <v>54</v>
      </c>
      <c r="B52">
        <v>12526.38</v>
      </c>
      <c r="C52">
        <v>0.23</v>
      </c>
      <c r="D52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ECD7-7ACF-1B46-9B14-84B3A5369FCD}">
  <dimension ref="A1:D52"/>
  <sheetViews>
    <sheetView workbookViewId="0">
      <selection activeCell="J34" sqref="J34"/>
    </sheetView>
  </sheetViews>
  <sheetFormatPr baseColWidth="10" defaultRowHeight="16" x14ac:dyDescent="0.2"/>
  <cols>
    <col min="1" max="1" width="8" bestFit="1" customWidth="1"/>
    <col min="2" max="2" width="14.5" bestFit="1" customWidth="1"/>
    <col min="3" max="3" width="18.5" bestFit="1" customWidth="1"/>
    <col min="4" max="4" width="17.1640625" bestFit="1" customWidth="1"/>
  </cols>
  <sheetData>
    <row r="1" spans="1:4" x14ac:dyDescent="0.2">
      <c r="A1" t="s">
        <v>0</v>
      </c>
      <c r="B1" t="s">
        <v>3</v>
      </c>
      <c r="C1" t="s">
        <v>64</v>
      </c>
      <c r="D1" t="s">
        <v>71</v>
      </c>
    </row>
    <row r="2" spans="1:4" x14ac:dyDescent="0.2">
      <c r="A2" t="s">
        <v>6</v>
      </c>
      <c r="B2">
        <v>31118.23</v>
      </c>
      <c r="C2">
        <v>2.29</v>
      </c>
      <c r="D2" t="s">
        <v>72</v>
      </c>
    </row>
    <row r="3" spans="1:4" x14ac:dyDescent="0.2">
      <c r="A3" t="s">
        <v>4</v>
      </c>
      <c r="B3">
        <v>24894.04</v>
      </c>
      <c r="C3">
        <v>2.88</v>
      </c>
      <c r="D3" t="s">
        <v>72</v>
      </c>
    </row>
    <row r="4" spans="1:4" x14ac:dyDescent="0.2">
      <c r="A4" t="s">
        <v>7</v>
      </c>
      <c r="B4">
        <v>23849.87</v>
      </c>
      <c r="C4">
        <v>3.09</v>
      </c>
      <c r="D4" t="s">
        <v>73</v>
      </c>
    </row>
    <row r="5" spans="1:4" x14ac:dyDescent="0.2">
      <c r="A5" t="s">
        <v>8</v>
      </c>
      <c r="B5">
        <v>23533.25</v>
      </c>
      <c r="C5">
        <v>2.5299999999999998</v>
      </c>
      <c r="D5" t="s">
        <v>72</v>
      </c>
    </row>
    <row r="6" spans="1:4" x14ac:dyDescent="0.2">
      <c r="A6" t="s">
        <v>9</v>
      </c>
      <c r="B6">
        <v>23330.240000000002</v>
      </c>
      <c r="C6">
        <v>3.01</v>
      </c>
      <c r="D6" t="s">
        <v>73</v>
      </c>
    </row>
    <row r="7" spans="1:4" x14ac:dyDescent="0.2">
      <c r="A7" t="s">
        <v>5</v>
      </c>
      <c r="B7">
        <v>23097.9</v>
      </c>
      <c r="C7">
        <v>3.1</v>
      </c>
      <c r="D7" t="s">
        <v>73</v>
      </c>
    </row>
    <row r="8" spans="1:4" x14ac:dyDescent="0.2">
      <c r="A8" t="s">
        <v>19</v>
      </c>
      <c r="B8">
        <v>21973.86</v>
      </c>
      <c r="C8">
        <v>3.8</v>
      </c>
      <c r="D8" t="s">
        <v>73</v>
      </c>
    </row>
    <row r="9" spans="1:4" x14ac:dyDescent="0.2">
      <c r="A9" t="s">
        <v>13</v>
      </c>
      <c r="B9">
        <v>21804.33</v>
      </c>
      <c r="C9">
        <v>3.21</v>
      </c>
      <c r="D9" t="s">
        <v>73</v>
      </c>
    </row>
    <row r="10" spans="1:4" x14ac:dyDescent="0.2">
      <c r="A10" t="s">
        <v>11</v>
      </c>
      <c r="B10">
        <v>19892.59</v>
      </c>
      <c r="C10">
        <v>3.19</v>
      </c>
      <c r="D10" t="s">
        <v>73</v>
      </c>
    </row>
    <row r="11" spans="1:4" x14ac:dyDescent="0.2">
      <c r="A11" t="s">
        <v>34</v>
      </c>
      <c r="B11">
        <v>19657.61</v>
      </c>
      <c r="C11">
        <v>4.09</v>
      </c>
      <c r="D11" t="s">
        <v>74</v>
      </c>
    </row>
    <row r="12" spans="1:4" x14ac:dyDescent="0.2">
      <c r="A12" t="s">
        <v>18</v>
      </c>
      <c r="B12">
        <v>19625.16</v>
      </c>
      <c r="C12">
        <v>3.12</v>
      </c>
      <c r="D12" t="s">
        <v>73</v>
      </c>
    </row>
    <row r="13" spans="1:4" x14ac:dyDescent="0.2">
      <c r="A13" t="s">
        <v>12</v>
      </c>
      <c r="B13">
        <v>19237.03</v>
      </c>
      <c r="C13">
        <v>3.21</v>
      </c>
      <c r="D13" t="s">
        <v>73</v>
      </c>
    </row>
    <row r="14" spans="1:4" x14ac:dyDescent="0.2">
      <c r="A14" t="s">
        <v>29</v>
      </c>
      <c r="B14">
        <v>18847.7</v>
      </c>
      <c r="C14">
        <v>3.87</v>
      </c>
      <c r="D14" t="s">
        <v>73</v>
      </c>
    </row>
    <row r="15" spans="1:4" x14ac:dyDescent="0.2">
      <c r="A15" t="s">
        <v>17</v>
      </c>
      <c r="B15">
        <v>17888.62</v>
      </c>
      <c r="C15">
        <v>3.05</v>
      </c>
      <c r="D15" t="s">
        <v>73</v>
      </c>
    </row>
    <row r="16" spans="1:4" x14ac:dyDescent="0.2">
      <c r="A16" t="s">
        <v>37</v>
      </c>
      <c r="B16">
        <v>17775.36</v>
      </c>
      <c r="C16">
        <v>3.35</v>
      </c>
      <c r="D16" t="s">
        <v>73</v>
      </c>
    </row>
    <row r="17" spans="1:4" x14ac:dyDescent="0.2">
      <c r="A17" t="s">
        <v>10</v>
      </c>
      <c r="B17">
        <v>17713.419999999998</v>
      </c>
      <c r="C17">
        <v>3</v>
      </c>
      <c r="D17" t="s">
        <v>73</v>
      </c>
    </row>
    <row r="18" spans="1:4" x14ac:dyDescent="0.2">
      <c r="A18" t="s">
        <v>14</v>
      </c>
      <c r="B18">
        <v>17701.41</v>
      </c>
      <c r="C18">
        <v>2.9</v>
      </c>
      <c r="D18" t="s">
        <v>72</v>
      </c>
    </row>
    <row r="19" spans="1:4" x14ac:dyDescent="0.2">
      <c r="A19" t="s">
        <v>26</v>
      </c>
      <c r="B19">
        <v>17502.990000000002</v>
      </c>
      <c r="C19">
        <v>3.02</v>
      </c>
      <c r="D19" t="s">
        <v>73</v>
      </c>
    </row>
    <row r="20" spans="1:4" x14ac:dyDescent="0.2">
      <c r="A20" t="s">
        <v>31</v>
      </c>
      <c r="B20">
        <v>17452.52</v>
      </c>
      <c r="C20">
        <v>3.77</v>
      </c>
      <c r="D20" t="s">
        <v>73</v>
      </c>
    </row>
    <row r="21" spans="1:4" x14ac:dyDescent="0.2">
      <c r="A21" t="s">
        <v>24</v>
      </c>
      <c r="B21">
        <v>17284.740000000002</v>
      </c>
      <c r="C21">
        <v>3.28</v>
      </c>
      <c r="D21" t="s">
        <v>73</v>
      </c>
    </row>
    <row r="22" spans="1:4" x14ac:dyDescent="0.2">
      <c r="A22" t="s">
        <v>16</v>
      </c>
      <c r="B22">
        <v>17208</v>
      </c>
      <c r="C22">
        <v>3.36</v>
      </c>
      <c r="D22" t="s">
        <v>73</v>
      </c>
    </row>
    <row r="23" spans="1:4" x14ac:dyDescent="0.2">
      <c r="A23" t="s">
        <v>28</v>
      </c>
      <c r="B23">
        <v>17161.97</v>
      </c>
      <c r="C23">
        <v>3.24</v>
      </c>
      <c r="D23" t="s">
        <v>73</v>
      </c>
    </row>
    <row r="24" spans="1:4" x14ac:dyDescent="0.2">
      <c r="A24" t="s">
        <v>15</v>
      </c>
      <c r="B24">
        <v>17023.11</v>
      </c>
      <c r="C24">
        <v>3.43</v>
      </c>
      <c r="D24" t="s">
        <v>73</v>
      </c>
    </row>
    <row r="25" spans="1:4" x14ac:dyDescent="0.2">
      <c r="A25" t="s">
        <v>25</v>
      </c>
      <c r="B25">
        <v>16999.22</v>
      </c>
      <c r="C25">
        <v>3.25</v>
      </c>
      <c r="D25" t="s">
        <v>73</v>
      </c>
    </row>
    <row r="26" spans="1:4" x14ac:dyDescent="0.2">
      <c r="A26" t="s">
        <v>27</v>
      </c>
      <c r="B26">
        <v>16878.12</v>
      </c>
      <c r="C26">
        <v>2.68</v>
      </c>
      <c r="D26" t="s">
        <v>72</v>
      </c>
    </row>
    <row r="27" spans="1:4" x14ac:dyDescent="0.2">
      <c r="A27" t="s">
        <v>23</v>
      </c>
      <c r="B27">
        <v>16868.68</v>
      </c>
      <c r="C27">
        <v>2.91</v>
      </c>
      <c r="D27" t="s">
        <v>72</v>
      </c>
    </row>
    <row r="28" spans="1:4" x14ac:dyDescent="0.2">
      <c r="A28" t="s">
        <v>20</v>
      </c>
      <c r="B28">
        <v>16841.66</v>
      </c>
      <c r="C28">
        <v>2.72</v>
      </c>
      <c r="D28" t="s">
        <v>72</v>
      </c>
    </row>
    <row r="29" spans="1:4" x14ac:dyDescent="0.2">
      <c r="A29" t="s">
        <v>21</v>
      </c>
      <c r="B29">
        <v>16788.29</v>
      </c>
      <c r="C29">
        <v>4.08</v>
      </c>
      <c r="D29" t="s">
        <v>74</v>
      </c>
    </row>
    <row r="30" spans="1:4" x14ac:dyDescent="0.2">
      <c r="A30" t="s">
        <v>35</v>
      </c>
      <c r="B30">
        <v>16676.37</v>
      </c>
      <c r="C30">
        <v>3.01</v>
      </c>
      <c r="D30" t="s">
        <v>73</v>
      </c>
    </row>
    <row r="31" spans="1:4" x14ac:dyDescent="0.2">
      <c r="A31" t="s">
        <v>32</v>
      </c>
      <c r="B31">
        <v>16458.169999999998</v>
      </c>
      <c r="C31">
        <v>3.59</v>
      </c>
      <c r="D31" t="s">
        <v>73</v>
      </c>
    </row>
    <row r="32" spans="1:4" x14ac:dyDescent="0.2">
      <c r="A32" t="s">
        <v>22</v>
      </c>
      <c r="B32">
        <v>16373.55</v>
      </c>
      <c r="C32">
        <v>2.4500000000000002</v>
      </c>
      <c r="D32" t="s">
        <v>72</v>
      </c>
    </row>
    <row r="33" spans="1:4" x14ac:dyDescent="0.2">
      <c r="A33" t="s">
        <v>33</v>
      </c>
      <c r="B33">
        <v>16328.58</v>
      </c>
      <c r="C33">
        <v>3.46</v>
      </c>
      <c r="D33" t="s">
        <v>73</v>
      </c>
    </row>
    <row r="34" spans="1:4" x14ac:dyDescent="0.2">
      <c r="A34" t="s">
        <v>38</v>
      </c>
      <c r="B34">
        <v>16179.88</v>
      </c>
      <c r="C34">
        <v>3.42</v>
      </c>
      <c r="D34" t="s">
        <v>73</v>
      </c>
    </row>
    <row r="35" spans="1:4" x14ac:dyDescent="0.2">
      <c r="A35" t="s">
        <v>46</v>
      </c>
      <c r="B35">
        <v>15950.06</v>
      </c>
      <c r="C35">
        <v>3.02</v>
      </c>
      <c r="D35" t="s">
        <v>73</v>
      </c>
    </row>
    <row r="36" spans="1:4" x14ac:dyDescent="0.2">
      <c r="A36" t="s">
        <v>30</v>
      </c>
      <c r="B36">
        <v>15931.05</v>
      </c>
      <c r="C36">
        <v>2.99</v>
      </c>
      <c r="D36" t="s">
        <v>72</v>
      </c>
    </row>
    <row r="37" spans="1:4" x14ac:dyDescent="0.2">
      <c r="A37" t="s">
        <v>43</v>
      </c>
      <c r="B37">
        <v>15873.99</v>
      </c>
      <c r="C37">
        <v>3.45</v>
      </c>
      <c r="D37" t="s">
        <v>73</v>
      </c>
    </row>
    <row r="38" spans="1:4" x14ac:dyDescent="0.2">
      <c r="A38" t="s">
        <v>41</v>
      </c>
      <c r="B38">
        <v>15781.3</v>
      </c>
      <c r="C38">
        <v>3.63</v>
      </c>
      <c r="D38" t="s">
        <v>73</v>
      </c>
    </row>
    <row r="39" spans="1:4" x14ac:dyDescent="0.2">
      <c r="A39" t="s">
        <v>40</v>
      </c>
      <c r="B39">
        <v>15643.44</v>
      </c>
      <c r="C39">
        <v>3.27</v>
      </c>
      <c r="D39" t="s">
        <v>73</v>
      </c>
    </row>
    <row r="40" spans="1:4" x14ac:dyDescent="0.2">
      <c r="A40" t="s">
        <v>36</v>
      </c>
      <c r="B40">
        <v>15580.82</v>
      </c>
      <c r="C40">
        <v>3.56</v>
      </c>
      <c r="D40" t="s">
        <v>73</v>
      </c>
    </row>
    <row r="41" spans="1:4" x14ac:dyDescent="0.2">
      <c r="A41" t="s">
        <v>42</v>
      </c>
      <c r="B41">
        <v>15432.19</v>
      </c>
      <c r="C41">
        <v>3.1</v>
      </c>
      <c r="D41" t="s">
        <v>73</v>
      </c>
    </row>
    <row r="42" spans="1:4" x14ac:dyDescent="0.2">
      <c r="A42" t="s">
        <v>48</v>
      </c>
      <c r="B42">
        <v>15027.53</v>
      </c>
      <c r="C42">
        <v>3.3</v>
      </c>
      <c r="D42" t="s">
        <v>73</v>
      </c>
    </row>
    <row r="43" spans="1:4" x14ac:dyDescent="0.2">
      <c r="A43" t="s">
        <v>50</v>
      </c>
      <c r="B43">
        <v>14684.19</v>
      </c>
      <c r="C43">
        <v>2.57</v>
      </c>
      <c r="D43" t="s">
        <v>72</v>
      </c>
    </row>
    <row r="44" spans="1:4" x14ac:dyDescent="0.2">
      <c r="A44" t="s">
        <v>49</v>
      </c>
      <c r="B44">
        <v>14422.04</v>
      </c>
      <c r="C44">
        <v>2.71</v>
      </c>
      <c r="D44" t="s">
        <v>72</v>
      </c>
    </row>
    <row r="45" spans="1:4" x14ac:dyDescent="0.2">
      <c r="A45" t="s">
        <v>45</v>
      </c>
      <c r="B45">
        <v>14350.43</v>
      </c>
      <c r="C45">
        <v>2.83</v>
      </c>
      <c r="D45" t="s">
        <v>72</v>
      </c>
    </row>
    <row r="46" spans="1:4" x14ac:dyDescent="0.2">
      <c r="A46" t="s">
        <v>51</v>
      </c>
      <c r="B46">
        <v>14323.94</v>
      </c>
      <c r="C46">
        <v>3.02</v>
      </c>
      <c r="D46" t="s">
        <v>73</v>
      </c>
    </row>
    <row r="47" spans="1:4" x14ac:dyDescent="0.2">
      <c r="A47" t="s">
        <v>39</v>
      </c>
      <c r="B47">
        <v>14265.52</v>
      </c>
      <c r="C47">
        <v>2.63</v>
      </c>
      <c r="D47" t="s">
        <v>72</v>
      </c>
    </row>
    <row r="48" spans="1:4" x14ac:dyDescent="0.2">
      <c r="A48" t="s">
        <v>44</v>
      </c>
      <c r="B48">
        <v>14132.41</v>
      </c>
      <c r="C48">
        <v>3.33</v>
      </c>
      <c r="D48" t="s">
        <v>73</v>
      </c>
    </row>
    <row r="49" spans="1:4" x14ac:dyDescent="0.2">
      <c r="A49" t="s">
        <v>47</v>
      </c>
      <c r="B49">
        <v>13825.32</v>
      </c>
      <c r="C49">
        <v>2.9</v>
      </c>
      <c r="D49" t="s">
        <v>72</v>
      </c>
    </row>
    <row r="50" spans="1:4" x14ac:dyDescent="0.2">
      <c r="A50" t="s">
        <v>53</v>
      </c>
      <c r="B50">
        <v>13634.37</v>
      </c>
      <c r="C50">
        <v>2.63</v>
      </c>
      <c r="D50" t="s">
        <v>72</v>
      </c>
    </row>
    <row r="51" spans="1:4" x14ac:dyDescent="0.2">
      <c r="A51" t="s">
        <v>52</v>
      </c>
      <c r="B51">
        <v>13172.9</v>
      </c>
      <c r="C51">
        <v>2.4900000000000002</v>
      </c>
      <c r="D51" t="s">
        <v>72</v>
      </c>
    </row>
    <row r="52" spans="1:4" x14ac:dyDescent="0.2">
      <c r="A52" t="s">
        <v>54</v>
      </c>
      <c r="B52">
        <v>12526.38</v>
      </c>
      <c r="C52">
        <v>2.85</v>
      </c>
      <c r="D52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07BB-F519-6542-8CFB-BEE5FFBA2363}">
  <dimension ref="A1:E52"/>
  <sheetViews>
    <sheetView workbookViewId="0">
      <selection activeCell="J33" sqref="J33"/>
    </sheetView>
  </sheetViews>
  <sheetFormatPr baseColWidth="10" defaultRowHeight="16" x14ac:dyDescent="0.2"/>
  <cols>
    <col min="1" max="1" width="8" bestFit="1" customWidth="1"/>
    <col min="2" max="2" width="15.1640625" bestFit="1" customWidth="1"/>
    <col min="3" max="3" width="15.83203125" bestFit="1" customWidth="1"/>
    <col min="4" max="4" width="14.5" bestFit="1" customWidth="1"/>
    <col min="5" max="5" width="2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75</v>
      </c>
    </row>
    <row r="2" spans="1:5" x14ac:dyDescent="0.2">
      <c r="A2" t="s">
        <v>15</v>
      </c>
      <c r="B2">
        <v>26876</v>
      </c>
      <c r="C2">
        <v>6</v>
      </c>
      <c r="D2">
        <v>17023.11</v>
      </c>
      <c r="E2">
        <v>4479</v>
      </c>
    </row>
    <row r="3" spans="1:5" x14ac:dyDescent="0.2">
      <c r="A3" t="s">
        <v>12</v>
      </c>
      <c r="B3">
        <v>183445</v>
      </c>
      <c r="C3">
        <v>54</v>
      </c>
      <c r="D3">
        <v>19237.03</v>
      </c>
      <c r="E3">
        <v>3397</v>
      </c>
    </row>
    <row r="4" spans="1:5" x14ac:dyDescent="0.2">
      <c r="A4" t="s">
        <v>5</v>
      </c>
      <c r="B4">
        <v>130663</v>
      </c>
      <c r="C4">
        <v>44</v>
      </c>
      <c r="D4">
        <v>23097.9</v>
      </c>
      <c r="E4">
        <v>2970</v>
      </c>
    </row>
    <row r="5" spans="1:5" x14ac:dyDescent="0.2">
      <c r="A5" t="s">
        <v>36</v>
      </c>
      <c r="B5">
        <v>17156</v>
      </c>
      <c r="C5">
        <v>6</v>
      </c>
      <c r="D5">
        <v>15580.82</v>
      </c>
      <c r="E5">
        <v>2859</v>
      </c>
    </row>
    <row r="6" spans="1:5" x14ac:dyDescent="0.2">
      <c r="A6" t="s">
        <v>14</v>
      </c>
      <c r="B6">
        <v>172827</v>
      </c>
      <c r="C6">
        <v>63</v>
      </c>
      <c r="D6">
        <v>17701.41</v>
      </c>
      <c r="E6">
        <v>2743</v>
      </c>
    </row>
    <row r="7" spans="1:5" x14ac:dyDescent="0.2">
      <c r="A7" t="s">
        <v>6</v>
      </c>
      <c r="B7">
        <v>16246</v>
      </c>
      <c r="C7">
        <v>6</v>
      </c>
      <c r="D7">
        <v>31118.23</v>
      </c>
      <c r="E7">
        <v>2708</v>
      </c>
    </row>
    <row r="8" spans="1:5" x14ac:dyDescent="0.2">
      <c r="A8" t="s">
        <v>45</v>
      </c>
      <c r="B8">
        <v>442286</v>
      </c>
      <c r="C8">
        <v>166</v>
      </c>
      <c r="D8">
        <v>14350.43</v>
      </c>
      <c r="E8">
        <v>2664</v>
      </c>
    </row>
    <row r="9" spans="1:5" x14ac:dyDescent="0.2">
      <c r="A9" t="s">
        <v>8</v>
      </c>
      <c r="B9">
        <v>329669</v>
      </c>
      <c r="C9">
        <v>129</v>
      </c>
      <c r="D9">
        <v>23533.25</v>
      </c>
      <c r="E9">
        <v>2556</v>
      </c>
    </row>
    <row r="10" spans="1:5" x14ac:dyDescent="0.2">
      <c r="A10" t="s">
        <v>33</v>
      </c>
      <c r="B10">
        <v>153255</v>
      </c>
      <c r="C10">
        <v>71</v>
      </c>
      <c r="D10">
        <v>16328.58</v>
      </c>
      <c r="E10">
        <v>2159</v>
      </c>
    </row>
    <row r="11" spans="1:5" x14ac:dyDescent="0.2">
      <c r="A11" t="s">
        <v>11</v>
      </c>
      <c r="B11">
        <v>55936</v>
      </c>
      <c r="C11">
        <v>26</v>
      </c>
      <c r="D11">
        <v>19892.59</v>
      </c>
      <c r="E11">
        <v>2151</v>
      </c>
    </row>
    <row r="12" spans="1:5" x14ac:dyDescent="0.2">
      <c r="A12" t="s">
        <v>20</v>
      </c>
      <c r="B12">
        <v>43038</v>
      </c>
      <c r="C12">
        <v>22</v>
      </c>
      <c r="D12">
        <v>16841.66</v>
      </c>
      <c r="E12">
        <v>1956</v>
      </c>
    </row>
    <row r="13" spans="1:5" x14ac:dyDescent="0.2">
      <c r="A13" t="s">
        <v>23</v>
      </c>
      <c r="B13">
        <v>223982</v>
      </c>
      <c r="C13">
        <v>115</v>
      </c>
      <c r="D13">
        <v>16868.68</v>
      </c>
      <c r="E13">
        <v>1948</v>
      </c>
    </row>
    <row r="14" spans="1:5" x14ac:dyDescent="0.2">
      <c r="A14" t="s">
        <v>25</v>
      </c>
      <c r="B14">
        <v>24659</v>
      </c>
      <c r="C14">
        <v>13</v>
      </c>
      <c r="D14">
        <v>16999.22</v>
      </c>
      <c r="E14">
        <v>1897</v>
      </c>
    </row>
    <row r="15" spans="1:5" x14ac:dyDescent="0.2">
      <c r="A15" t="s">
        <v>35</v>
      </c>
      <c r="B15">
        <v>152408</v>
      </c>
      <c r="C15">
        <v>81</v>
      </c>
      <c r="D15">
        <v>16676.37</v>
      </c>
      <c r="E15">
        <v>1882</v>
      </c>
    </row>
    <row r="16" spans="1:5" x14ac:dyDescent="0.2">
      <c r="A16" t="s">
        <v>18</v>
      </c>
      <c r="B16">
        <v>84147</v>
      </c>
      <c r="C16">
        <v>45</v>
      </c>
      <c r="D16">
        <v>19625.16</v>
      </c>
      <c r="E16">
        <v>1870</v>
      </c>
    </row>
    <row r="17" spans="1:5" x14ac:dyDescent="0.2">
      <c r="A17" t="s">
        <v>40</v>
      </c>
      <c r="B17">
        <v>93263</v>
      </c>
      <c r="C17">
        <v>51</v>
      </c>
      <c r="D17">
        <v>15643.44</v>
      </c>
      <c r="E17">
        <v>1829</v>
      </c>
    </row>
    <row r="18" spans="1:5" x14ac:dyDescent="0.2">
      <c r="A18" t="s">
        <v>24</v>
      </c>
      <c r="B18">
        <v>227069</v>
      </c>
      <c r="C18">
        <v>129</v>
      </c>
      <c r="D18">
        <v>17284.740000000002</v>
      </c>
      <c r="E18">
        <v>1760</v>
      </c>
    </row>
    <row r="19" spans="1:5" x14ac:dyDescent="0.2">
      <c r="A19" t="s">
        <v>39</v>
      </c>
      <c r="B19">
        <v>37699</v>
      </c>
      <c r="C19">
        <v>23</v>
      </c>
      <c r="D19">
        <v>14265.52</v>
      </c>
      <c r="E19">
        <v>1639</v>
      </c>
    </row>
    <row r="20" spans="1:5" x14ac:dyDescent="0.2">
      <c r="A20" t="s">
        <v>19</v>
      </c>
      <c r="B20">
        <v>73158</v>
      </c>
      <c r="C20">
        <v>45</v>
      </c>
      <c r="D20">
        <v>21973.86</v>
      </c>
      <c r="E20">
        <v>1626</v>
      </c>
    </row>
    <row r="21" spans="1:5" x14ac:dyDescent="0.2">
      <c r="A21" t="s">
        <v>26</v>
      </c>
      <c r="B21">
        <v>93809</v>
      </c>
      <c r="C21">
        <v>58</v>
      </c>
      <c r="D21">
        <v>17502.990000000002</v>
      </c>
      <c r="E21">
        <v>1617</v>
      </c>
    </row>
    <row r="22" spans="1:5" x14ac:dyDescent="0.2">
      <c r="A22" t="s">
        <v>42</v>
      </c>
      <c r="B22">
        <v>104952</v>
      </c>
      <c r="C22">
        <v>65</v>
      </c>
      <c r="D22">
        <v>15432.19</v>
      </c>
      <c r="E22">
        <v>1615</v>
      </c>
    </row>
    <row r="23" spans="1:5" x14ac:dyDescent="0.2">
      <c r="A23" t="s">
        <v>30</v>
      </c>
      <c r="B23">
        <v>140175</v>
      </c>
      <c r="C23">
        <v>87</v>
      </c>
      <c r="D23">
        <v>15931.05</v>
      </c>
      <c r="E23">
        <v>1611</v>
      </c>
    </row>
    <row r="24" spans="1:5" x14ac:dyDescent="0.2">
      <c r="A24" t="s">
        <v>9</v>
      </c>
      <c r="B24">
        <v>441929</v>
      </c>
      <c r="C24">
        <v>275</v>
      </c>
      <c r="D24">
        <v>23330.240000000002</v>
      </c>
      <c r="E24">
        <v>1607</v>
      </c>
    </row>
    <row r="25" spans="1:5" x14ac:dyDescent="0.2">
      <c r="A25" t="s">
        <v>16</v>
      </c>
      <c r="B25">
        <v>13958</v>
      </c>
      <c r="C25">
        <v>9</v>
      </c>
      <c r="D25">
        <v>17208</v>
      </c>
      <c r="E25">
        <v>1551</v>
      </c>
    </row>
    <row r="26" spans="1:5" x14ac:dyDescent="0.2">
      <c r="A26" t="s">
        <v>54</v>
      </c>
      <c r="B26">
        <v>9306</v>
      </c>
      <c r="C26">
        <v>6</v>
      </c>
      <c r="D26">
        <v>12526.38</v>
      </c>
      <c r="E26">
        <v>1551</v>
      </c>
    </row>
    <row r="27" spans="1:5" x14ac:dyDescent="0.2">
      <c r="A27" t="s">
        <v>46</v>
      </c>
      <c r="B27">
        <v>118691</v>
      </c>
      <c r="C27">
        <v>77</v>
      </c>
      <c r="D27">
        <v>15950.06</v>
      </c>
      <c r="E27">
        <v>1541</v>
      </c>
    </row>
    <row r="28" spans="1:5" x14ac:dyDescent="0.2">
      <c r="A28" t="s">
        <v>38</v>
      </c>
      <c r="B28">
        <v>177100</v>
      </c>
      <c r="C28">
        <v>116</v>
      </c>
      <c r="D28">
        <v>16179.88</v>
      </c>
      <c r="E28">
        <v>1527</v>
      </c>
    </row>
    <row r="29" spans="1:5" x14ac:dyDescent="0.2">
      <c r="A29" t="s">
        <v>51</v>
      </c>
      <c r="B29">
        <v>46389</v>
      </c>
      <c r="C29">
        <v>31</v>
      </c>
      <c r="D29">
        <v>14323.94</v>
      </c>
      <c r="E29">
        <v>1496</v>
      </c>
    </row>
    <row r="30" spans="1:5" x14ac:dyDescent="0.2">
      <c r="A30" t="s">
        <v>27</v>
      </c>
      <c r="B30">
        <v>128054</v>
      </c>
      <c r="C30">
        <v>88</v>
      </c>
      <c r="D30">
        <v>16878.12</v>
      </c>
      <c r="E30">
        <v>1455</v>
      </c>
    </row>
    <row r="31" spans="1:5" x14ac:dyDescent="0.2">
      <c r="A31" t="s">
        <v>21</v>
      </c>
      <c r="B31">
        <v>21074</v>
      </c>
      <c r="C31">
        <v>15</v>
      </c>
      <c r="D31">
        <v>16788.29</v>
      </c>
      <c r="E31">
        <v>1405</v>
      </c>
    </row>
    <row r="32" spans="1:5" x14ac:dyDescent="0.2">
      <c r="A32" t="s">
        <v>37</v>
      </c>
      <c r="B32">
        <v>33434</v>
      </c>
      <c r="C32">
        <v>24</v>
      </c>
      <c r="D32">
        <v>17775.36</v>
      </c>
      <c r="E32">
        <v>1393</v>
      </c>
    </row>
    <row r="33" spans="1:5" x14ac:dyDescent="0.2">
      <c r="A33" t="s">
        <v>28</v>
      </c>
      <c r="B33">
        <v>332232</v>
      </c>
      <c r="C33">
        <v>240</v>
      </c>
      <c r="D33">
        <v>17161.97</v>
      </c>
      <c r="E33">
        <v>1384</v>
      </c>
    </row>
    <row r="34" spans="1:5" x14ac:dyDescent="0.2">
      <c r="A34" t="s">
        <v>44</v>
      </c>
      <c r="B34">
        <v>110234</v>
      </c>
      <c r="C34">
        <v>80</v>
      </c>
      <c r="D34">
        <v>14132.41</v>
      </c>
      <c r="E34">
        <v>1378</v>
      </c>
    </row>
    <row r="35" spans="1:5" x14ac:dyDescent="0.2">
      <c r="A35" t="s">
        <v>41</v>
      </c>
      <c r="B35">
        <v>15027</v>
      </c>
      <c r="C35">
        <v>11</v>
      </c>
      <c r="D35">
        <v>15781.3</v>
      </c>
      <c r="E35">
        <v>1366</v>
      </c>
    </row>
    <row r="36" spans="1:5" x14ac:dyDescent="0.2">
      <c r="A36" t="s">
        <v>53</v>
      </c>
      <c r="B36">
        <v>55312</v>
      </c>
      <c r="C36">
        <v>42</v>
      </c>
      <c r="D36">
        <v>13634.37</v>
      </c>
      <c r="E36">
        <v>1317</v>
      </c>
    </row>
    <row r="37" spans="1:5" x14ac:dyDescent="0.2">
      <c r="A37" t="s">
        <v>49</v>
      </c>
      <c r="B37">
        <v>73349</v>
      </c>
      <c r="C37">
        <v>60</v>
      </c>
      <c r="D37">
        <v>14422.04</v>
      </c>
      <c r="E37">
        <v>1222</v>
      </c>
    </row>
    <row r="38" spans="1:5" x14ac:dyDescent="0.2">
      <c r="A38" t="s">
        <v>13</v>
      </c>
      <c r="B38">
        <v>36366</v>
      </c>
      <c r="C38">
        <v>30</v>
      </c>
      <c r="D38">
        <v>21804.33</v>
      </c>
      <c r="E38">
        <v>1212</v>
      </c>
    </row>
    <row r="39" spans="1:5" x14ac:dyDescent="0.2">
      <c r="A39" t="s">
        <v>4</v>
      </c>
      <c r="B39">
        <v>9387</v>
      </c>
      <c r="C39">
        <v>8</v>
      </c>
      <c r="D39">
        <v>24894.04</v>
      </c>
      <c r="E39">
        <v>1173</v>
      </c>
    </row>
    <row r="40" spans="1:5" x14ac:dyDescent="0.2">
      <c r="A40" t="s">
        <v>43</v>
      </c>
      <c r="B40">
        <v>51595</v>
      </c>
      <c r="C40">
        <v>45</v>
      </c>
      <c r="D40">
        <v>15873.99</v>
      </c>
      <c r="E40">
        <v>1147</v>
      </c>
    </row>
    <row r="41" spans="1:5" x14ac:dyDescent="0.2">
      <c r="A41" t="s">
        <v>52</v>
      </c>
      <c r="B41">
        <v>55640</v>
      </c>
      <c r="C41">
        <v>51</v>
      </c>
      <c r="D41">
        <v>13172.9</v>
      </c>
      <c r="E41">
        <v>1091</v>
      </c>
    </row>
    <row r="42" spans="1:5" x14ac:dyDescent="0.2">
      <c r="A42" t="s">
        <v>32</v>
      </c>
      <c r="B42">
        <v>16326</v>
      </c>
      <c r="C42">
        <v>15</v>
      </c>
      <c r="D42">
        <v>16458.169999999998</v>
      </c>
      <c r="E42">
        <v>1088</v>
      </c>
    </row>
    <row r="43" spans="1:5" x14ac:dyDescent="0.2">
      <c r="A43" t="s">
        <v>48</v>
      </c>
      <c r="B43">
        <v>71453</v>
      </c>
      <c r="C43">
        <v>67</v>
      </c>
      <c r="D43">
        <v>15027.53</v>
      </c>
      <c r="E43">
        <v>1066</v>
      </c>
    </row>
    <row r="44" spans="1:5" x14ac:dyDescent="0.2">
      <c r="A44" t="s">
        <v>31</v>
      </c>
      <c r="B44">
        <v>66915</v>
      </c>
      <c r="C44">
        <v>65</v>
      </c>
      <c r="D44">
        <v>17452.52</v>
      </c>
      <c r="E44">
        <v>1029</v>
      </c>
    </row>
    <row r="45" spans="1:5" x14ac:dyDescent="0.2">
      <c r="A45" t="s">
        <v>50</v>
      </c>
      <c r="B45">
        <v>70322</v>
      </c>
      <c r="C45">
        <v>69</v>
      </c>
      <c r="D45">
        <v>14684.19</v>
      </c>
      <c r="E45">
        <v>1019</v>
      </c>
    </row>
    <row r="46" spans="1:5" x14ac:dyDescent="0.2">
      <c r="A46" t="s">
        <v>29</v>
      </c>
      <c r="B46">
        <v>46569</v>
      </c>
      <c r="C46">
        <v>48</v>
      </c>
      <c r="D46">
        <v>18847.7</v>
      </c>
      <c r="E46">
        <v>970</v>
      </c>
    </row>
    <row r="47" spans="1:5" x14ac:dyDescent="0.2">
      <c r="A47" t="s">
        <v>7</v>
      </c>
      <c r="B47">
        <v>10883</v>
      </c>
      <c r="C47">
        <v>12</v>
      </c>
      <c r="D47">
        <v>23849.87</v>
      </c>
      <c r="E47">
        <v>907</v>
      </c>
    </row>
    <row r="48" spans="1:5" x14ac:dyDescent="0.2">
      <c r="A48" t="s">
        <v>17</v>
      </c>
      <c r="B48">
        <v>13805</v>
      </c>
      <c r="C48">
        <v>17</v>
      </c>
      <c r="D48">
        <v>17888.62</v>
      </c>
      <c r="E48">
        <v>812</v>
      </c>
    </row>
    <row r="49" spans="1:5" x14ac:dyDescent="0.2">
      <c r="A49" t="s">
        <v>47</v>
      </c>
      <c r="B49">
        <v>60953</v>
      </c>
      <c r="C49">
        <v>76</v>
      </c>
      <c r="D49">
        <v>13825.32</v>
      </c>
      <c r="E49">
        <v>802</v>
      </c>
    </row>
    <row r="50" spans="1:5" x14ac:dyDescent="0.2">
      <c r="A50" t="s">
        <v>34</v>
      </c>
      <c r="B50">
        <v>23134</v>
      </c>
      <c r="C50">
        <v>29</v>
      </c>
      <c r="D50">
        <v>19657.61</v>
      </c>
      <c r="E50">
        <v>798</v>
      </c>
    </row>
    <row r="51" spans="1:5" x14ac:dyDescent="0.2">
      <c r="A51" t="s">
        <v>22</v>
      </c>
      <c r="B51">
        <v>18370</v>
      </c>
      <c r="C51">
        <v>25</v>
      </c>
      <c r="D51">
        <v>16373.55</v>
      </c>
      <c r="E51">
        <v>735</v>
      </c>
    </row>
    <row r="52" spans="1:5" x14ac:dyDescent="0.2">
      <c r="A52" t="s">
        <v>10</v>
      </c>
      <c r="B52">
        <v>5800</v>
      </c>
      <c r="C52">
        <v>9</v>
      </c>
      <c r="D52">
        <v>17713.419999999998</v>
      </c>
      <c r="E52">
        <v>644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E6F67E-E338-8B46-998F-07D18FC8A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Tables</vt:lpstr>
      <vt:lpstr>state_costs</vt:lpstr>
      <vt:lpstr>alaska_similar_states</vt:lpstr>
      <vt:lpstr>cost_vulnerability</vt:lpstr>
      <vt:lpstr>cost_quality</vt:lpstr>
      <vt:lpstr>volume_efficiency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Varshith Danda</dc:creator>
  <cp:lastModifiedBy>Sai Krishna Varshith Danda</cp:lastModifiedBy>
  <dcterms:created xsi:type="dcterms:W3CDTF">2026-03-01T19:28:38Z</dcterms:created>
  <dcterms:modified xsi:type="dcterms:W3CDTF">2026-03-15T22:56:42Z</dcterms:modified>
</cp:coreProperties>
</file>